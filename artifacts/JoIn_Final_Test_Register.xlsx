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aster Register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Defects" sheetId="5" state="visible" r:id="rId5"/>
    <sheet xmlns:r="http://schemas.openxmlformats.org/officeDocument/2006/relationships" name="Evidence Index" sheetId="6" state="visible" r:id="rId6"/>
    <sheet xmlns:r="http://schemas.openxmlformats.org/officeDocument/2006/relationships" name="Lists" sheetId="7" state="hidden" r:id="rId7"/>
  </sheets>
  <definedNames>
    <definedName name="_xlnm._FilterDatabase" localSheetId="2" hidden="1">'Master Register'!$A$1:$U$311</definedName>
    <definedName name="_xlnm._FilterDatabase" localSheetId="4" hidden="1">'Defects'!$A$1:$P$31</definedName>
    <definedName name="_xlnm._FilterDatabase" localSheetId="5" hidden="1">'Evidence Index'!$A$1:$I$51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17233D"/>
      <sz val="11"/>
    </font>
    <font>
      <b val="1"/>
      <color rgb="00FFFFFF"/>
    </font>
    <font>
      <b val="1"/>
      <color rgb="000B234A"/>
    </font>
    <font>
      <b val="1"/>
      <color rgb="00B24B2A"/>
      <sz val="13"/>
    </font>
    <font>
      <b val="1"/>
      <color rgb="001769D2"/>
      <sz val="13"/>
    </font>
    <font>
      <b val="1"/>
      <color rgb="0016835A"/>
      <sz val="13"/>
    </font>
  </fonts>
  <fills count="4">
    <fill>
      <patternFill/>
    </fill>
    <fill>
      <patternFill patternType="gray125"/>
    </fill>
    <fill>
      <patternFill patternType="solid">
        <fgColor rgb="000B234A"/>
      </patternFill>
    </fill>
    <fill>
      <patternFill patternType="solid">
        <fgColor rgb="00E8EDF4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0" fontId="4" fillId="3" borderId="3" pivotButton="0" quotePrefix="0" xfId="0"/>
    <xf numFmtId="164" fontId="4" fillId="3" borderId="3" pivotButton="0" quotePrefix="0" xfId="0"/>
    <xf numFmtId="165" fontId="0" fillId="0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5" fillId="0" borderId="0" pivotButton="0" quotePrefix="0" xfId="0"/>
    <xf numFmtId="0" fontId="3" fillId="2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8F6EE"/>
        </patternFill>
      </fill>
    </dxf>
    <dxf>
      <fill>
        <patternFill patternType="solid">
          <fgColor rgb="00FDECEC"/>
        </patternFill>
      </fill>
    </dxf>
    <dxf>
      <fill>
        <patternFill patternType="solid">
          <fgColor rgb="00FFF4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pass rate by test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'Dashboard'!$A$5:$A$14</f>
            </numRef>
          </cat>
          <val>
            <numRef>
              <f>'Dashboard'!$J$5:$J$14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TestRegister" displayName="MasterTestRegister" ref="A1:U311" headerRowCount="1">
  <autoFilter ref="A1:U311"/>
  <tableColumns count="21">
    <tableColumn id="1" name="Test ID"/>
    <tableColumn id="2" name="Test Area"/>
    <tableColumn id="3" name="Subsystem / Group"/>
    <tableColumn id="4" name="Owner"/>
    <tableColumn id="5" name="Priority"/>
    <tableColumn id="6" name="Language"/>
    <tableColumn id="7" name="Condition / Environment"/>
    <tableColumn id="8" name="Preconditions"/>
    <tableColumn id="9" name="Test Input / Scenario"/>
    <tableColumn id="10" name="Execution Steps"/>
    <tableColumn id="11" name="Expected Result"/>
    <tableColumn id="12" name="Actual Result"/>
    <tableColumn id="13" name="Evidence Reference"/>
    <tableColumn id="14" name="First-run Status"/>
    <tableColumn id="15" name="Severity if Failed"/>
    <tableColumn id="16" name="Duration (seconds)"/>
    <tableColumn id="17" name="Response Time (ms)"/>
    <tableColumn id="18" name="Run Date"/>
    <tableColumn id="19" name="Retest Status"/>
    <tableColumn id="20" name="Retest Date"/>
    <tableColumn id="2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ectRegister" displayName="DefectRegister" ref="A1:P31" headerRowCount="1">
  <autoFilter ref="A1:P31"/>
  <tableColumns count="16">
    <tableColumn id="1" name="Defect ID"/>
    <tableColumn id="2" name="Related Test ID"/>
    <tableColumn id="3" name="Area"/>
    <tableColumn id="4" name="Summary"/>
    <tableColumn id="5" name="Severity"/>
    <tableColumn id="6" name="Reproduction"/>
    <tableColumn id="7" name="Expected"/>
    <tableColumn id="8" name="Actual"/>
    <tableColumn id="9" name="Root Cause"/>
    <tableColumn id="10" name="Correction"/>
    <tableColumn id="11" name="Owner"/>
    <tableColumn id="12" name="Status"/>
    <tableColumn id="13" name="Opened Date"/>
    <tableColumn id="14" name="Retest Test ID"/>
    <tableColumn id="15" name="Closed Date"/>
    <tableColumn id="16" name="Evidence Reference"/>
  </tableColumns>
  <tableStyleInfo name="TableStyleMedium4" showRowStripes="1"/>
</table>
</file>

<file path=xl/tables/table3.xml><?xml version="1.0" encoding="utf-8"?>
<table xmlns="http://schemas.openxmlformats.org/spreadsheetml/2006/main" id="3" name="EvidenceRegister" displayName="EvidenceRegister" ref="A1:I51" headerRowCount="1">
  <autoFilter ref="A1:I51"/>
  <tableColumns count="9">
    <tableColumn id="1" name="Evidence ID"/>
    <tableColumn id="2" name="Related Test ID(s)"/>
    <tableColumn id="3" name="Evidence Type"/>
    <tableColumn id="4" name="File Path / URL"/>
    <tableColumn id="5" name="Description"/>
    <tableColumn id="6" name="Captured Date"/>
    <tableColumn id="7" name="Owner"/>
    <tableColumn id="8" name="Verified"/>
    <tableColumn id="9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8" customHeight="1">
      <c r="A1" s="1" t="inlineStr">
        <is>
          <t>JoIn Final Verification Register</t>
        </is>
      </c>
    </row>
    <row r="2" ht="34" customHeight="1">
      <c r="A2" s="2" t="inlineStr">
        <is>
          <t>Editable engineering test workbook — Development Team</t>
        </is>
      </c>
    </row>
    <row r="4">
      <c r="A4" s="3" t="inlineStr">
        <is>
          <t>Field</t>
        </is>
      </c>
      <c r="B4" s="3" t="inlineStr">
        <is>
          <t>Guidance</t>
        </is>
      </c>
    </row>
    <row r="5">
      <c r="A5" s="4" t="inlineStr">
        <is>
          <t>Purpose</t>
        </is>
      </c>
      <c r="B5" s="5" t="inlineStr">
        <is>
          <t>Record repeatable evidence for the final report without placing all 310 rows in the report itself.</t>
        </is>
      </c>
    </row>
    <row r="6">
      <c r="A6" s="4" t="inlineStr">
        <is>
          <t>Where to work</t>
        </is>
      </c>
      <c r="B6" s="5" t="inlineStr">
        <is>
          <t>Enter results only in Master Register, Defects and Evidence Index. Dashboard formulas update when Excel recalculates.</t>
        </is>
      </c>
    </row>
    <row r="7">
      <c r="A7" s="4" t="inlineStr">
        <is>
          <t>Before execution</t>
        </is>
      </c>
      <c r="B7" s="5" t="inlineStr">
        <is>
          <t>Freeze the tested commit/deployment URL. Do not change expected results after seeing an outcome.</t>
        </is>
      </c>
    </row>
    <row r="8">
      <c r="A8" s="4" t="inlineStr">
        <is>
          <t>First-run status</t>
        </is>
      </c>
      <c r="B8" s="5" t="inlineStr">
        <is>
          <t>Use Pass, Fail or Partial only after valid execution against healthy required services. Use Blocked for unavailable services, wrong paths, runner problems or unmet test-data preconditions; use Not Run when execution has not started.</t>
        </is>
      </c>
    </row>
    <row r="9">
      <c r="A9" s="4" t="inlineStr">
        <is>
          <t>After a correction</t>
        </is>
      </c>
      <c r="B9" s="5" t="inlineStr">
        <is>
          <t>Keep the original status. Enter the result in Retest Status and link the defect/evidence.</t>
        </is>
      </c>
    </row>
    <row r="10">
      <c r="A10" s="4" t="inlineStr">
        <is>
          <t>Percentages</t>
        </is>
      </c>
      <c r="B10" s="5" t="inlineStr">
        <is>
          <t>Report Passed / Executed for each area. Blocked and Not Run cases are excluded from Executed. Do not combine safety-critical failures into a misleading single score.</t>
        </is>
      </c>
    </row>
    <row r="11">
      <c r="A11" s="4" t="inlineStr">
        <is>
          <t>Evidence</t>
        </is>
      </c>
      <c r="B11" s="5" t="inlineStr">
        <is>
          <t>Use stable evidence IDs such as EV-AI-001 and store screenshots/logs in the project testing-evidence directory.</t>
        </is>
      </c>
    </row>
    <row r="12">
      <c r="A12" s="4" t="inlineStr">
        <is>
          <t>Privacy</t>
        </is>
      </c>
      <c r="B12" s="5" t="inlineStr">
        <is>
          <t>Use fictional candidates. Never place real disability evidence, passwords, API keys, JWTs or private documents in this workbook.</t>
        </is>
      </c>
    </row>
    <row r="13">
      <c r="A13" s="4" t="inlineStr">
        <is>
          <t>Ownership</t>
        </is>
      </c>
      <c r="B13" s="5" t="inlineStr">
        <is>
          <t>All planned and completed checks are recorded under the Development Team. Individual tester names are intentionally omitted.</t>
        </is>
      </c>
    </row>
    <row r="16">
      <c r="A16" t="inlineStr">
        <is>
          <t>Workbook created</t>
        </is>
      </c>
      <c r="B16" t="inlineStr">
        <is>
          <t>2026-09-10</t>
        </is>
      </c>
    </row>
    <row r="17">
      <c r="A17" t="inlineStr">
        <is>
          <t>Planned executions</t>
        </is>
      </c>
      <c r="B17" t="n">
        <v>310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1" customWidth="1" min="4" max="4"/>
    <col width="16" customWidth="1" min="5" max="5"/>
    <col width="10" customWidth="1" min="6" max="6"/>
    <col width="16" customWidth="1" min="7" max="7"/>
    <col width="14" customWidth="1" min="8" max="8"/>
    <col width="12" customWidth="1" min="9" max="9"/>
    <col width="12" customWidth="1" min="10" max="10"/>
    <col width="48" customWidth="1" min="11" max="11"/>
  </cols>
  <sheetData>
    <row r="1" ht="38" customHeight="1">
      <c r="A1" s="1" t="inlineStr">
        <is>
          <t>Verification Dashboard</t>
        </is>
      </c>
    </row>
    <row r="2" ht="34" customHeight="1">
      <c r="A2" s="2" t="inlineStr">
        <is>
          <t>Summary for the report; detailed evidence remains in the Master Register</t>
        </is>
      </c>
    </row>
    <row r="4">
      <c r="A4" s="3" t="inlineStr">
        <is>
          <t>Test area</t>
        </is>
      </c>
      <c r="B4" s="3" t="inlineStr">
        <is>
          <t>Owner</t>
        </is>
      </c>
      <c r="C4" s="3" t="inlineStr">
        <is>
          <t>Planned</t>
        </is>
      </c>
      <c r="D4" s="3" t="inlineStr">
        <is>
          <t>Executed</t>
        </is>
      </c>
      <c r="E4" s="3" t="inlineStr">
        <is>
          <t>First-pass passed</t>
        </is>
      </c>
      <c r="F4" s="3" t="inlineStr">
        <is>
          <t>Failed</t>
        </is>
      </c>
      <c r="G4" s="3" t="inlineStr">
        <is>
          <t>Partial / blocked</t>
        </is>
      </c>
      <c r="H4" s="3" t="inlineStr">
        <is>
          <t>First-pass rate</t>
        </is>
      </c>
      <c r="I4" s="3" t="inlineStr">
        <is>
          <t>Final passed</t>
        </is>
      </c>
      <c r="J4" s="3" t="inlineStr">
        <is>
          <t>Final rate</t>
        </is>
      </c>
      <c r="K4" s="3" t="inlineStr">
        <is>
          <t>Acceptance target</t>
        </is>
      </c>
    </row>
    <row r="5">
      <c r="A5" s="6" t="inlineStr">
        <is>
          <t>AI Profile Suggestions</t>
        </is>
      </c>
      <c r="B5" s="6" t="inlineStr">
        <is>
          <t>Development Team</t>
        </is>
      </c>
      <c r="C5" s="6" t="n">
        <v>60</v>
      </c>
      <c r="D5" s="6">
        <f>COUNTIFS('Master Register'!$B:$B,$A5,'Master Register'!$N:$N,"Pass")+COUNTIFS('Master Register'!$B:$B,$A5,'Master Register'!$N:$N,"Fail")+COUNTIFS('Master Register'!$B:$B,$A5,'Master Register'!$N:$N,"Partial")</f>
        <v/>
      </c>
      <c r="E5" s="6">
        <f>COUNTIFS('Master Register'!$B:$B,$A5,'Master Register'!$N:$N,"Pass")</f>
        <v/>
      </c>
      <c r="F5" s="6">
        <f>COUNTIFS('Master Register'!$B:$B,$A5,'Master Register'!$N:$N,"Fail")</f>
        <v/>
      </c>
      <c r="G5" s="6">
        <f>COUNTIFS('Master Register'!$B:$B,$A5,'Master Register'!$N:$N,"Partial")+COUNTIFS('Master Register'!$B:$B,$A5,'Master Register'!$N:$N,"Blocked")</f>
        <v/>
      </c>
      <c r="H5" s="7">
        <f>IFERROR(E5/D5,0)</f>
        <v/>
      </c>
      <c r="I5" s="6">
        <f>COUNTIFS('Master Register'!$B:$B,$A5,'Master Register'!$N:$N,"Pass")+COUNTIFS('Master Register'!$B:$B,$A5,'Master Register'!$N:$N,"&lt;&gt;Pass",'Master Register'!$S:$S,"Pass")</f>
        <v/>
      </c>
      <c r="J5" s="7">
        <f>IFERROR(I5/D5,0)</f>
        <v/>
      </c>
      <c r="K5" s="6" t="inlineStr">
        <is>
          <t>&gt;=95% precision and recall; 0 unsafe inference</t>
        </is>
      </c>
    </row>
    <row r="6">
      <c r="A6" s="6" t="inlineStr">
        <is>
          <t>Voice Transcription</t>
        </is>
      </c>
      <c r="B6" s="6" t="inlineStr">
        <is>
          <t>Development Team</t>
        </is>
      </c>
      <c r="C6" s="6" t="n">
        <v>30</v>
      </c>
      <c r="D6" s="6">
        <f>COUNTIFS('Master Register'!$B:$B,$A6,'Master Register'!$N:$N,"Pass")+COUNTIFS('Master Register'!$B:$B,$A6,'Master Register'!$N:$N,"Fail")+COUNTIFS('Master Register'!$B:$B,$A6,'Master Register'!$N:$N,"Partial")</f>
        <v/>
      </c>
      <c r="E6" s="6">
        <f>COUNTIFS('Master Register'!$B:$B,$A6,'Master Register'!$N:$N,"Pass")</f>
        <v/>
      </c>
      <c r="F6" s="6">
        <f>COUNTIFS('Master Register'!$B:$B,$A6,'Master Register'!$N:$N,"Fail")</f>
        <v/>
      </c>
      <c r="G6" s="6">
        <f>COUNTIFS('Master Register'!$B:$B,$A6,'Master Register'!$N:$N,"Partial")+COUNTIFS('Master Register'!$B:$B,$A6,'Master Register'!$N:$N,"Blocked")</f>
        <v/>
      </c>
      <c r="H6" s="7">
        <f>IFERROR(E6/D6,0)</f>
        <v/>
      </c>
      <c r="I6" s="6">
        <f>COUNTIFS('Master Register'!$B:$B,$A6,'Master Register'!$N:$N,"Pass")+COUNTIFS('Master Register'!$B:$B,$A6,'Master Register'!$N:$N,"&lt;&gt;Pass",'Master Register'!$S:$S,"Pass")</f>
        <v/>
      </c>
      <c r="J6" s="7">
        <f>IFERROR(I6/D6,0)</f>
        <v/>
      </c>
      <c r="K6" s="6" t="inlineStr">
        <is>
          <t>&gt;=90% success; &gt;=95% critical-value accuracy</t>
        </is>
      </c>
    </row>
    <row r="7">
      <c r="A7" s="6" t="inlineStr">
        <is>
          <t>Voice Navigation</t>
        </is>
      </c>
      <c r="B7" s="6" t="inlineStr">
        <is>
          <t>Development Team</t>
        </is>
      </c>
      <c r="C7" s="6" t="n">
        <v>60</v>
      </c>
      <c r="D7" s="6">
        <f>COUNTIFS('Master Register'!$B:$B,$A7,'Master Register'!$N:$N,"Pass")+COUNTIFS('Master Register'!$B:$B,$A7,'Master Register'!$N:$N,"Fail")+COUNTIFS('Master Register'!$B:$B,$A7,'Master Register'!$N:$N,"Partial")</f>
        <v/>
      </c>
      <c r="E7" s="6">
        <f>COUNTIFS('Master Register'!$B:$B,$A7,'Master Register'!$N:$N,"Pass")</f>
        <v/>
      </c>
      <c r="F7" s="6">
        <f>COUNTIFS('Master Register'!$B:$B,$A7,'Master Register'!$N:$N,"Fail")</f>
        <v/>
      </c>
      <c r="G7" s="6">
        <f>COUNTIFS('Master Register'!$B:$B,$A7,'Master Register'!$N:$N,"Partial")+COUNTIFS('Master Register'!$B:$B,$A7,'Master Register'!$N:$N,"Blocked")</f>
        <v/>
      </c>
      <c r="H7" s="7">
        <f>IFERROR(E7/D7,0)</f>
        <v/>
      </c>
      <c r="I7" s="6">
        <f>COUNTIFS('Master Register'!$B:$B,$A7,'Master Register'!$N:$N,"Pass")+COUNTIFS('Master Register'!$B:$B,$A7,'Master Register'!$N:$N,"&lt;&gt;Pass",'Master Register'!$S:$S,"Pass")</f>
        <v/>
      </c>
      <c r="J7" s="7">
        <f>IFERROR(I7/D7,0)</f>
        <v/>
      </c>
      <c r="K7" s="6" t="inlineStr">
        <is>
          <t>&gt;=90% action success; 0 unauthorized actions</t>
        </is>
      </c>
    </row>
    <row r="8">
      <c r="A8" s="6" t="inlineStr">
        <is>
          <t>Matching Engine</t>
        </is>
      </c>
      <c r="B8" s="6" t="inlineStr">
        <is>
          <t>Development Team</t>
        </is>
      </c>
      <c r="C8" s="6" t="n">
        <v>45</v>
      </c>
      <c r="D8" s="6">
        <f>COUNTIFS('Master Register'!$B:$B,$A8,'Master Register'!$N:$N,"Pass")+COUNTIFS('Master Register'!$B:$B,$A8,'Master Register'!$N:$N,"Fail")+COUNTIFS('Master Register'!$B:$B,$A8,'Master Register'!$N:$N,"Partial")</f>
        <v/>
      </c>
      <c r="E8" s="6">
        <f>COUNTIFS('Master Register'!$B:$B,$A8,'Master Register'!$N:$N,"Pass")</f>
        <v/>
      </c>
      <c r="F8" s="6">
        <f>COUNTIFS('Master Register'!$B:$B,$A8,'Master Register'!$N:$N,"Fail")</f>
        <v/>
      </c>
      <c r="G8" s="6">
        <f>COUNTIFS('Master Register'!$B:$B,$A8,'Master Register'!$N:$N,"Partial")+COUNTIFS('Master Register'!$B:$B,$A8,'Master Register'!$N:$N,"Blocked")</f>
        <v/>
      </c>
      <c r="H8" s="7">
        <f>IFERROR(E8/D8,0)</f>
        <v/>
      </c>
      <c r="I8" s="6">
        <f>COUNTIFS('Master Register'!$B:$B,$A8,'Master Register'!$N:$N,"Pass")+COUNTIFS('Master Register'!$B:$B,$A8,'Master Register'!$N:$N,"&lt;&gt;Pass",'Master Register'!$S:$S,"Pass")</f>
        <v/>
      </c>
      <c r="J8" s="7">
        <f>IFERROR(I8/D8,0)</f>
        <v/>
      </c>
      <c r="K8" s="6" t="inlineStr">
        <is>
          <t>100% formula and eligibility accuracy</t>
        </is>
      </c>
    </row>
    <row r="9">
      <c r="A9" s="6" t="inlineStr">
        <is>
          <t>Complete Workflows</t>
        </is>
      </c>
      <c r="B9" s="6" t="inlineStr">
        <is>
          <t>Development Team</t>
        </is>
      </c>
      <c r="C9" s="6" t="n">
        <v>20</v>
      </c>
      <c r="D9" s="6">
        <f>COUNTIFS('Master Register'!$B:$B,$A9,'Master Register'!$N:$N,"Pass")+COUNTIFS('Master Register'!$B:$B,$A9,'Master Register'!$N:$N,"Fail")+COUNTIFS('Master Register'!$B:$B,$A9,'Master Register'!$N:$N,"Partial")</f>
        <v/>
      </c>
      <c r="E9" s="6">
        <f>COUNTIFS('Master Register'!$B:$B,$A9,'Master Register'!$N:$N,"Pass")</f>
        <v/>
      </c>
      <c r="F9" s="6">
        <f>COUNTIFS('Master Register'!$B:$B,$A9,'Master Register'!$N:$N,"Fail")</f>
        <v/>
      </c>
      <c r="G9" s="6">
        <f>COUNTIFS('Master Register'!$B:$B,$A9,'Master Register'!$N:$N,"Partial")+COUNTIFS('Master Register'!$B:$B,$A9,'Master Register'!$N:$N,"Blocked")</f>
        <v/>
      </c>
      <c r="H9" s="7">
        <f>IFERROR(E9/D9,0)</f>
        <v/>
      </c>
      <c r="I9" s="6">
        <f>COUNTIFS('Master Register'!$B:$B,$A9,'Master Register'!$N:$N,"Pass")+COUNTIFS('Master Register'!$B:$B,$A9,'Master Register'!$N:$N,"&lt;&gt;Pass",'Master Register'!$S:$S,"Pass")</f>
        <v/>
      </c>
      <c r="J9" s="7">
        <f>IFERROR(I9/D9,0)</f>
        <v/>
      </c>
      <c r="K9" s="6" t="inlineStr">
        <is>
          <t>100% critical flows; &gt;=95% overall</t>
        </is>
      </c>
    </row>
    <row r="10">
      <c r="A10" s="6" t="inlineStr">
        <is>
          <t>Security and Privacy</t>
        </is>
      </c>
      <c r="B10" s="6" t="inlineStr">
        <is>
          <t>Development Team</t>
        </is>
      </c>
      <c r="C10" s="6" t="n">
        <v>20</v>
      </c>
      <c r="D10" s="6">
        <f>COUNTIFS('Master Register'!$B:$B,$A10,'Master Register'!$N:$N,"Pass")+COUNTIFS('Master Register'!$B:$B,$A10,'Master Register'!$N:$N,"Fail")+COUNTIFS('Master Register'!$B:$B,$A10,'Master Register'!$N:$N,"Partial")</f>
        <v/>
      </c>
      <c r="E10" s="6">
        <f>COUNTIFS('Master Register'!$B:$B,$A10,'Master Register'!$N:$N,"Pass")</f>
        <v/>
      </c>
      <c r="F10" s="6">
        <f>COUNTIFS('Master Register'!$B:$B,$A10,'Master Register'!$N:$N,"Fail")</f>
        <v/>
      </c>
      <c r="G10" s="6">
        <f>COUNTIFS('Master Register'!$B:$B,$A10,'Master Register'!$N:$N,"Partial")+COUNTIFS('Master Register'!$B:$B,$A10,'Master Register'!$N:$N,"Blocked")</f>
        <v/>
      </c>
      <c r="H10" s="7">
        <f>IFERROR(E10/D10,0)</f>
        <v/>
      </c>
      <c r="I10" s="6">
        <f>COUNTIFS('Master Register'!$B:$B,$A10,'Master Register'!$N:$N,"Pass")+COUNTIFS('Master Register'!$B:$B,$A10,'Master Register'!$N:$N,"&lt;&gt;Pass",'Master Register'!$S:$S,"Pass")</f>
        <v/>
      </c>
      <c r="J10" s="7">
        <f>IFERROR(I10/D10,0)</f>
        <v/>
      </c>
      <c r="K10" s="6" t="inlineStr">
        <is>
          <t>100%; no critical or high finding open</t>
        </is>
      </c>
    </row>
    <row r="11">
      <c r="A11" s="6" t="inlineStr">
        <is>
          <t>Accessibility</t>
        </is>
      </c>
      <c r="B11" s="6" t="inlineStr">
        <is>
          <t>Development Team</t>
        </is>
      </c>
      <c r="C11" s="6" t="n">
        <v>18</v>
      </c>
      <c r="D11" s="6">
        <f>COUNTIFS('Master Register'!$B:$B,$A11,'Master Register'!$N:$N,"Pass")+COUNTIFS('Master Register'!$B:$B,$A11,'Master Register'!$N:$N,"Fail")+COUNTIFS('Master Register'!$B:$B,$A11,'Master Register'!$N:$N,"Partial")</f>
        <v/>
      </c>
      <c r="E11" s="6">
        <f>COUNTIFS('Master Register'!$B:$B,$A11,'Master Register'!$N:$N,"Pass")</f>
        <v/>
      </c>
      <c r="F11" s="6">
        <f>COUNTIFS('Master Register'!$B:$B,$A11,'Master Register'!$N:$N,"Fail")</f>
        <v/>
      </c>
      <c r="G11" s="6">
        <f>COUNTIFS('Master Register'!$B:$B,$A11,'Master Register'!$N:$N,"Partial")+COUNTIFS('Master Register'!$B:$B,$A11,'Master Register'!$N:$N,"Blocked")</f>
        <v/>
      </c>
      <c r="H11" s="7">
        <f>IFERROR(E11/D11,0)</f>
        <v/>
      </c>
      <c r="I11" s="6">
        <f>COUNTIFS('Master Register'!$B:$B,$A11,'Master Register'!$N:$N,"Pass")+COUNTIFS('Master Register'!$B:$B,$A11,'Master Register'!$N:$N,"&lt;&gt;Pass",'Master Register'!$S:$S,"Pass")</f>
        <v/>
      </c>
      <c r="J11" s="7">
        <f>IFERROR(I11/D11,0)</f>
        <v/>
      </c>
      <c r="K11" s="6" t="inlineStr">
        <is>
          <t>No critical blockers; 100% keyboard completion</t>
        </is>
      </c>
    </row>
    <row r="12">
      <c r="A12" s="6" t="inlineStr">
        <is>
          <t>Multilingual and RTL</t>
        </is>
      </c>
      <c r="B12" s="6" t="inlineStr">
        <is>
          <t>Development Team</t>
        </is>
      </c>
      <c r="C12" s="6" t="n">
        <v>18</v>
      </c>
      <c r="D12" s="6">
        <f>COUNTIFS('Master Register'!$B:$B,$A12,'Master Register'!$N:$N,"Pass")+COUNTIFS('Master Register'!$B:$B,$A12,'Master Register'!$N:$N,"Fail")+COUNTIFS('Master Register'!$B:$B,$A12,'Master Register'!$N:$N,"Partial")</f>
        <v/>
      </c>
      <c r="E12" s="6">
        <f>COUNTIFS('Master Register'!$B:$B,$A12,'Master Register'!$N:$N,"Pass")</f>
        <v/>
      </c>
      <c r="F12" s="6">
        <f>COUNTIFS('Master Register'!$B:$B,$A12,'Master Register'!$N:$N,"Fail")</f>
        <v/>
      </c>
      <c r="G12" s="6">
        <f>COUNTIFS('Master Register'!$B:$B,$A12,'Master Register'!$N:$N,"Partial")+COUNTIFS('Master Register'!$B:$B,$A12,'Master Register'!$N:$N,"Blocked")</f>
        <v/>
      </c>
      <c r="H12" s="7">
        <f>IFERROR(E12/D12,0)</f>
        <v/>
      </c>
      <c r="I12" s="6">
        <f>COUNTIFS('Master Register'!$B:$B,$A12,'Master Register'!$N:$N,"Pass")+COUNTIFS('Master Register'!$B:$B,$A12,'Master Register'!$N:$N,"&lt;&gt;Pass",'Master Register'!$S:$S,"Pass")</f>
        <v/>
      </c>
      <c r="J12" s="7">
        <f>IFERROR(I12/D12,0)</f>
        <v/>
      </c>
      <c r="K12" s="6" t="inlineStr">
        <is>
          <t>100%; no missing keys or blocking RTL defects</t>
        </is>
      </c>
    </row>
    <row r="13">
      <c r="A13" s="6" t="inlineStr">
        <is>
          <t>Browser and Device</t>
        </is>
      </c>
      <c r="B13" s="6" t="inlineStr">
        <is>
          <t>Development Team</t>
        </is>
      </c>
      <c r="C13" s="6" t="n">
        <v>12</v>
      </c>
      <c r="D13" s="6">
        <f>COUNTIFS('Master Register'!$B:$B,$A13,'Master Register'!$N:$N,"Pass")+COUNTIFS('Master Register'!$B:$B,$A13,'Master Register'!$N:$N,"Fail")+COUNTIFS('Master Register'!$B:$B,$A13,'Master Register'!$N:$N,"Partial")</f>
        <v/>
      </c>
      <c r="E13" s="6">
        <f>COUNTIFS('Master Register'!$B:$B,$A13,'Master Register'!$N:$N,"Pass")</f>
        <v/>
      </c>
      <c r="F13" s="6">
        <f>COUNTIFS('Master Register'!$B:$B,$A13,'Master Register'!$N:$N,"Fail")</f>
        <v/>
      </c>
      <c r="G13" s="6">
        <f>COUNTIFS('Master Register'!$B:$B,$A13,'Master Register'!$N:$N,"Partial")+COUNTIFS('Master Register'!$B:$B,$A13,'Master Register'!$N:$N,"Blocked")</f>
        <v/>
      </c>
      <c r="H13" s="7">
        <f>IFERROR(E13/D13,0)</f>
        <v/>
      </c>
      <c r="I13" s="6">
        <f>COUNTIFS('Master Register'!$B:$B,$A13,'Master Register'!$N:$N,"Pass")+COUNTIFS('Master Register'!$B:$B,$A13,'Master Register'!$N:$N,"&lt;&gt;Pass",'Master Register'!$S:$S,"Pass")</f>
        <v/>
      </c>
      <c r="J13" s="7">
        <f>IFERROR(I13/D13,0)</f>
        <v/>
      </c>
      <c r="K13" s="6" t="inlineStr">
        <is>
          <t>&gt;=90%; 100% critical flows</t>
        </is>
      </c>
    </row>
    <row r="14">
      <c r="A14" s="6" t="inlineStr">
        <is>
          <t>Performance and Reliability</t>
        </is>
      </c>
      <c r="B14" s="6" t="inlineStr">
        <is>
          <t>Development Team</t>
        </is>
      </c>
      <c r="C14" s="6" t="n">
        <v>27</v>
      </c>
      <c r="D14" s="6">
        <f>COUNTIFS('Master Register'!$B:$B,$A14,'Master Register'!$N:$N,"Pass")+COUNTIFS('Master Register'!$B:$B,$A14,'Master Register'!$N:$N,"Fail")+COUNTIFS('Master Register'!$B:$B,$A14,'Master Register'!$N:$N,"Partial")</f>
        <v/>
      </c>
      <c r="E14" s="6">
        <f>COUNTIFS('Master Register'!$B:$B,$A14,'Master Register'!$N:$N,"Pass")</f>
        <v/>
      </c>
      <c r="F14" s="6">
        <f>COUNTIFS('Master Register'!$B:$B,$A14,'Master Register'!$N:$N,"Fail")</f>
        <v/>
      </c>
      <c r="G14" s="6">
        <f>COUNTIFS('Master Register'!$B:$B,$A14,'Master Register'!$N:$N,"Partial")+COUNTIFS('Master Register'!$B:$B,$A14,'Master Register'!$N:$N,"Blocked")</f>
        <v/>
      </c>
      <c r="H14" s="7">
        <f>IFERROR(E14/D14,0)</f>
        <v/>
      </c>
      <c r="I14" s="6">
        <f>COUNTIFS('Master Register'!$B:$B,$A14,'Master Register'!$N:$N,"Pass")+COUNTIFS('Master Register'!$B:$B,$A14,'Master Register'!$N:$N,"&lt;&gt;Pass",'Master Register'!$S:$S,"Pass")</f>
        <v/>
      </c>
      <c r="J14" s="7">
        <f>IFERROR(I14/D14,0)</f>
        <v/>
      </c>
      <c r="K14" s="6" t="inlineStr">
        <is>
          <t>&lt;1% 5xx; agreed p95 thresholds met</t>
        </is>
      </c>
    </row>
    <row r="15">
      <c r="A15" s="8" t="inlineStr">
        <is>
          <t>TOTAL</t>
        </is>
      </c>
      <c r="B15" s="8" t="n"/>
      <c r="C15" s="8">
        <f>SUM(C5:C14)</f>
        <v/>
      </c>
      <c r="D15" s="8">
        <f>SUM(D5:D14)</f>
        <v/>
      </c>
      <c r="E15" s="8">
        <f>SUM(E5:E14)</f>
        <v/>
      </c>
      <c r="F15" s="8">
        <f>SUM(F5:F14)</f>
        <v/>
      </c>
      <c r="G15" s="8">
        <f>SUM(G5:G14)</f>
        <v/>
      </c>
      <c r="H15" s="9">
        <f>IFERROR(E15/D15,0)</f>
        <v/>
      </c>
      <c r="I15" s="8">
        <f>SUM(I5:I14)</f>
        <v/>
      </c>
      <c r="J15" s="9">
        <f>IFERROR(I15/D15,0)</f>
        <v/>
      </c>
      <c r="K15" s="8" t="n"/>
    </row>
  </sheetData>
  <mergeCells count="2">
    <mergeCell ref="A2:K2"/>
    <mergeCell ref="A1:K1"/>
  </mergeCells>
  <conditionalFormatting sqref="J5:J15">
    <cfRule type="expression" priority="1" dxfId="0">
      <formula>J5&gt;=0.95</formula>
    </cfRule>
    <cfRule type="expression" priority="2" dxfId="1">
      <formula>AND(J5&gt;0,J5&lt;0.95)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8" customWidth="1" min="3" max="3"/>
    <col width="12" customWidth="1" min="4" max="4"/>
    <col width="12" customWidth="1" min="5" max="5"/>
    <col width="16" customWidth="1" min="6" max="6"/>
    <col width="28" customWidth="1" min="7" max="7"/>
    <col width="42" customWidth="1" min="8" max="8"/>
    <col width="52" customWidth="1" min="9" max="9"/>
    <col width="58" customWidth="1" min="10" max="10"/>
    <col width="52" customWidth="1" min="11" max="11"/>
    <col width="46" customWidth="1" min="12" max="12"/>
    <col width="24" customWidth="1" min="13" max="13"/>
    <col width="17" customWidth="1" min="14" max="14"/>
    <col width="18" customWidth="1" min="15" max="15"/>
    <col width="18" customWidth="1" min="16" max="16"/>
    <col width="19" customWidth="1" min="17" max="17"/>
    <col width="15" customWidth="1" min="18" max="18"/>
    <col width="16" customWidth="1" min="19" max="19"/>
    <col width="15" customWidth="1" min="20" max="20"/>
    <col width="38" customWidth="1" min="21" max="21"/>
  </cols>
  <sheetData>
    <row r="1">
      <c r="A1" s="3" t="inlineStr">
        <is>
          <t>Test ID</t>
        </is>
      </c>
      <c r="B1" s="3" t="inlineStr">
        <is>
          <t>Test Area</t>
        </is>
      </c>
      <c r="C1" s="3" t="inlineStr">
        <is>
          <t>Subsystem / Group</t>
        </is>
      </c>
      <c r="D1" s="3" t="inlineStr">
        <is>
          <t>Owner</t>
        </is>
      </c>
      <c r="E1" s="3" t="inlineStr">
        <is>
          <t>Priority</t>
        </is>
      </c>
      <c r="F1" s="3" t="inlineStr">
        <is>
          <t>Language</t>
        </is>
      </c>
      <c r="G1" s="3" t="inlineStr">
        <is>
          <t>Condition / Environment</t>
        </is>
      </c>
      <c r="H1" s="3" t="inlineStr">
        <is>
          <t>Preconditions</t>
        </is>
      </c>
      <c r="I1" s="3" t="inlineStr">
        <is>
          <t>Test Input / Scenario</t>
        </is>
      </c>
      <c r="J1" s="3" t="inlineStr">
        <is>
          <t>Execution Steps</t>
        </is>
      </c>
      <c r="K1" s="3" t="inlineStr">
        <is>
          <t>Expected Result</t>
        </is>
      </c>
      <c r="L1" s="3" t="inlineStr">
        <is>
          <t>Actual Result</t>
        </is>
      </c>
      <c r="M1" s="3" t="inlineStr">
        <is>
          <t>Evidence Reference</t>
        </is>
      </c>
      <c r="N1" s="3" t="inlineStr">
        <is>
          <t>First-run Status</t>
        </is>
      </c>
      <c r="O1" s="3" t="inlineStr">
        <is>
          <t>Severity if Failed</t>
        </is>
      </c>
      <c r="P1" s="3" t="inlineStr">
        <is>
          <t>Duration (seconds)</t>
        </is>
      </c>
      <c r="Q1" s="3" t="inlineStr">
        <is>
          <t>Response Time (ms)</t>
        </is>
      </c>
      <c r="R1" s="3" t="inlineStr">
        <is>
          <t>Run Date</t>
        </is>
      </c>
      <c r="S1" s="3" t="inlineStr">
        <is>
          <t>Retest Status</t>
        </is>
      </c>
      <c r="T1" s="3" t="inlineStr">
        <is>
          <t>Retest Date</t>
        </is>
      </c>
      <c r="U1" s="3" t="inlineStr">
        <is>
          <t>Notes</t>
        </is>
      </c>
    </row>
    <row r="2">
      <c r="A2" s="4" t="inlineStr">
        <is>
          <t>AI-EN-C01</t>
        </is>
      </c>
      <c r="B2" s="5" t="inlineStr">
        <is>
          <t>AI Profile Suggestions</t>
        </is>
      </c>
      <c r="C2" s="5" t="inlineStr">
        <is>
          <t>Complete profile</t>
        </is>
      </c>
      <c r="D2" s="5" t="inlineStr">
        <is>
          <t>Development Team</t>
        </is>
      </c>
      <c r="E2" s="5" t="inlineStr">
        <is>
          <t>Critical</t>
        </is>
      </c>
      <c r="F2" s="5" t="inlineStr">
        <is>
          <t>English</t>
        </is>
      </c>
      <c r="G2" s="5" t="inlineStr">
        <is>
          <t>Clean text</t>
        </is>
      </c>
      <c r="H2" s="5" t="inlineStr">
        <is>
          <t>Candidate fixture authenticated; local or staging AI service healthy; profile state recorded.</t>
        </is>
      </c>
      <c r="I2" s="5" t="inlineStr">
        <is>
          <t>All profile fields, high-school education, three independent abilities, both opportunity types, Cashier interest, explicit Hand selection and at least three task skills.</t>
        </is>
      </c>
      <c r="J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" s="5" t="inlineStr">
        <is>
          <t>Every explicitly stated field is suggested; no value is saved before confirmation.</t>
        </is>
      </c>
      <c r="L2" s="5" t="inlineStr">
        <is>
          <t>All gold expectations passed. HTTP 200; the profile remained unchanged before cleanup=True.</t>
        </is>
      </c>
      <c r="M2" s="5" t="inlineStr">
        <is>
          <t>EV-AI-002</t>
        </is>
      </c>
      <c r="N2" s="5" t="inlineStr">
        <is>
          <t>Pass</t>
        </is>
      </c>
      <c r="O2" s="5" t="inlineStr"/>
      <c r="P2" s="10" t="n">
        <v>14.4</v>
      </c>
      <c r="Q2" s="11" t="n">
        <v>14407</v>
      </c>
      <c r="R2" s="12" t="n">
        <v>46275</v>
      </c>
      <c r="S2" s="5" t="inlineStr"/>
      <c r="T2" s="12" t="inlineStr"/>
      <c r="U2" s="5" t="inlineStr">
        <is>
          <t>Evaluated structured AI output against the gold expectation; suggestions were not saved and the synthetic profile was reset.</t>
        </is>
      </c>
    </row>
    <row r="3">
      <c r="A3" s="4" t="inlineStr">
        <is>
          <t>AI-EN-C02</t>
        </is>
      </c>
      <c r="B3" s="5" t="inlineStr">
        <is>
          <t>AI Profile Suggestions</t>
        </is>
      </c>
      <c r="C3" s="5" t="inlineStr">
        <is>
          <t>Basic information only</t>
        </is>
      </c>
      <c r="D3" s="5" t="inlineStr">
        <is>
          <t>Development Team</t>
        </is>
      </c>
      <c r="E3" s="5" t="inlineStr">
        <is>
          <t>High</t>
        </is>
      </c>
      <c r="F3" s="5" t="inlineStr">
        <is>
          <t>English</t>
        </is>
      </c>
      <c r="G3" s="5" t="inlineStr">
        <is>
          <t>Clean text</t>
        </is>
      </c>
      <c r="H3" s="5" t="inlineStr">
        <is>
          <t>Candidate fixture authenticated; local or staging AI service healthy; profile state recorded.</t>
        </is>
      </c>
      <c r="I3" s="5" t="inlineStr">
        <is>
          <t>First name, last name, phone, location and a candidate-provided About sentence only.</t>
        </is>
      </c>
      <c r="J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" s="5" t="inlineStr">
        <is>
          <t>Only supported explicitly stated profile fields are suggested.</t>
        </is>
      </c>
      <c r="L3" s="5" t="inlineStr">
        <is>
          <t>All gold expectations passed. HTTP 200; the profile remained unchanged before cleanup=True.</t>
        </is>
      </c>
      <c r="M3" s="5" t="inlineStr">
        <is>
          <t>EV-AI-002</t>
        </is>
      </c>
      <c r="N3" s="5" t="inlineStr">
        <is>
          <t>Pass</t>
        </is>
      </c>
      <c r="O3" s="5" t="inlineStr"/>
      <c r="P3" s="10" t="n">
        <v>10.6</v>
      </c>
      <c r="Q3" s="11" t="n">
        <v>10588</v>
      </c>
      <c r="R3" s="12" t="n">
        <v>46275</v>
      </c>
      <c r="S3" s="5" t="inlineStr"/>
      <c r="T3" s="12" t="inlineStr"/>
      <c r="U3" s="5" t="inlineStr">
        <is>
          <t>Evaluated structured AI output against the gold expectation; suggestions were not saved and the synthetic profile was reset.</t>
        </is>
      </c>
    </row>
    <row r="4">
      <c r="A4" s="4" t="inlineStr">
        <is>
          <t>AI-EN-C03</t>
        </is>
      </c>
      <c r="B4" s="5" t="inlineStr">
        <is>
          <t>AI Profile Suggestions</t>
        </is>
      </c>
      <c r="C4" s="5" t="inlineStr">
        <is>
          <t>Independent foundation abilities</t>
        </is>
      </c>
      <c r="D4" s="5" t="inlineStr">
        <is>
          <t>Development Team</t>
        </is>
      </c>
      <c r="E4" s="5" t="inlineStr">
        <is>
          <t>High</t>
        </is>
      </c>
      <c r="F4" s="5" t="inlineStr">
        <is>
          <t>English</t>
        </is>
      </c>
      <c r="G4" s="5" t="inlineStr">
        <is>
          <t>Clean text</t>
        </is>
      </c>
      <c r="H4" s="5" t="inlineStr">
        <is>
          <t>Candidate fixture authenticated; local or staging AI service healthy; profile state recorded.</t>
        </is>
      </c>
      <c r="I4" s="5" t="inlineStr">
        <is>
          <t>Candidate explicitly says they read, write and count independently.</t>
        </is>
      </c>
      <c r="J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" s="5" t="inlineStr">
        <is>
          <t>All three labelled abilities map to independent.</t>
        </is>
      </c>
      <c r="L4" s="5" t="inlineStr">
        <is>
          <t>All gold expectations passed. HTTP 200; the profile remained unchanged before cleanup=True.</t>
        </is>
      </c>
      <c r="M4" s="5" t="inlineStr">
        <is>
          <t>EV-AI-002</t>
        </is>
      </c>
      <c r="N4" s="5" t="inlineStr">
        <is>
          <t>Pass</t>
        </is>
      </c>
      <c r="O4" s="5" t="inlineStr"/>
      <c r="P4" s="10" t="n">
        <v>9.699999999999999</v>
      </c>
      <c r="Q4" s="11" t="n">
        <v>9724</v>
      </c>
      <c r="R4" s="12" t="n">
        <v>46275</v>
      </c>
      <c r="S4" s="5" t="inlineStr"/>
      <c r="T4" s="12" t="inlineStr"/>
      <c r="U4" s="5" t="inlineStr">
        <is>
          <t>Evaluated structured AI output against the gold expectation; suggestions were not saved and the synthetic profile was reset.</t>
        </is>
      </c>
    </row>
    <row r="5">
      <c r="A5" s="4" t="inlineStr">
        <is>
          <t>AI-EN-C04</t>
        </is>
      </c>
      <c r="B5" s="5" t="inlineStr">
        <is>
          <t>AI Profile Suggestions</t>
        </is>
      </c>
      <c r="C5" s="5" t="inlineStr">
        <is>
          <t>Abilities with support</t>
        </is>
      </c>
      <c r="D5" s="5" t="inlineStr">
        <is>
          <t>Development Team</t>
        </is>
      </c>
      <c r="E5" s="5" t="inlineStr">
        <is>
          <t>High</t>
        </is>
      </c>
      <c r="F5" s="5" t="inlineStr">
        <is>
          <t>English</t>
        </is>
      </c>
      <c r="G5" s="5" t="inlineStr">
        <is>
          <t>Clean text</t>
        </is>
      </c>
      <c r="H5" s="5" t="inlineStr">
        <is>
          <t>Candidate fixture authenticated; local or staging AI service healthy; profile state recorded.</t>
        </is>
      </c>
      <c r="I5" s="5" t="inlineStr">
        <is>
          <t>Candidate explicitly needs support for reading, writing and counting.</t>
        </is>
      </c>
      <c r="J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" s="5" t="inlineStr">
        <is>
          <t>All three labelled abilities map to with_support without exclusion.</t>
        </is>
      </c>
      <c r="L5" s="5" t="inlineStr">
        <is>
          <t>All gold expectations passed. HTTP 200; the profile remained unchanged before cleanup=True.</t>
        </is>
      </c>
      <c r="M5" s="5" t="inlineStr">
        <is>
          <t>EV-AI-002</t>
        </is>
      </c>
      <c r="N5" s="5" t="inlineStr">
        <is>
          <t>Pass</t>
        </is>
      </c>
      <c r="O5" s="5" t="inlineStr"/>
      <c r="P5" s="10" t="n">
        <v>10.8</v>
      </c>
      <c r="Q5" s="11" t="n">
        <v>10752</v>
      </c>
      <c r="R5" s="12" t="n">
        <v>46275</v>
      </c>
      <c r="S5" s="5" t="inlineStr"/>
      <c r="T5" s="12" t="inlineStr"/>
      <c r="U5" s="5" t="inlineStr">
        <is>
          <t>Evaluated structured AI output against the gold expectation; suggestions were not saved and the synthetic profile was reset.</t>
        </is>
      </c>
    </row>
    <row r="6">
      <c r="A6" s="4" t="inlineStr">
        <is>
          <t>AI-EN-C05</t>
        </is>
      </c>
      <c r="B6" s="5" t="inlineStr">
        <is>
          <t>AI Profile Suggestions</t>
        </is>
      </c>
      <c r="C6" s="5" t="inlineStr">
        <is>
          <t>Mixed and not-yet abilities</t>
        </is>
      </c>
      <c r="D6" s="5" t="inlineStr">
        <is>
          <t>Development Team</t>
        </is>
      </c>
      <c r="E6" s="5" t="inlineStr">
        <is>
          <t>High</t>
        </is>
      </c>
      <c r="F6" s="5" t="inlineStr">
        <is>
          <t>English</t>
        </is>
      </c>
      <c r="G6" s="5" t="inlineStr">
        <is>
          <t>Clean text</t>
        </is>
      </c>
      <c r="H6" s="5" t="inlineStr">
        <is>
          <t>Candidate fixture authenticated; local or staging AI service healthy; profile state recorded.</t>
        </is>
      </c>
      <c r="I6" s="5" t="inlineStr">
        <is>
          <t>Reading independently, writing with support and counting not yet.</t>
        </is>
      </c>
      <c r="J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6" s="5" t="inlineStr">
        <is>
          <t>Each ability maps to its own correct controlled value.</t>
        </is>
      </c>
      <c r="L6" s="5" t="inlineStr">
        <is>
          <t>All gold expectations passed. HTTP 200; the profile remained unchanged before cleanup=True.</t>
        </is>
      </c>
      <c r="M6" s="5" t="inlineStr">
        <is>
          <t>EV-AI-002</t>
        </is>
      </c>
      <c r="N6" s="5" t="inlineStr">
        <is>
          <t>Pass</t>
        </is>
      </c>
      <c r="O6" s="5" t="inlineStr"/>
      <c r="P6" s="10" t="n">
        <v>5.7</v>
      </c>
      <c r="Q6" s="11" t="n">
        <v>5662</v>
      </c>
      <c r="R6" s="12" t="n">
        <v>46275</v>
      </c>
      <c r="S6" s="5" t="inlineStr"/>
      <c r="T6" s="12" t="inlineStr"/>
      <c r="U6" s="5" t="inlineStr">
        <is>
          <t>Evaluated structured AI output against the gold expectation; suggestions were not saved and the synthetic profile was reset.</t>
        </is>
      </c>
    </row>
    <row r="7">
      <c r="A7" s="4" t="inlineStr">
        <is>
          <t>AI-EN-C06</t>
        </is>
      </c>
      <c r="B7" s="5" t="inlineStr">
        <is>
          <t>AI Profile Suggestions</t>
        </is>
      </c>
      <c r="C7" s="5" t="inlineStr">
        <is>
          <t>Work only</t>
        </is>
      </c>
      <c r="D7" s="5" t="inlineStr">
        <is>
          <t>Development Team</t>
        </is>
      </c>
      <c r="E7" s="5" t="inlineStr">
        <is>
          <t>High</t>
        </is>
      </c>
      <c r="F7" s="5" t="inlineStr">
        <is>
          <t>English</t>
        </is>
      </c>
      <c r="G7" s="5" t="inlineStr">
        <is>
          <t>Clean text</t>
        </is>
      </c>
      <c r="H7" s="5" t="inlineStr">
        <is>
          <t>Candidate fixture authenticated; local or staging AI service healthy; profile state recorded.</t>
        </is>
      </c>
      <c r="I7" s="5" t="inlineStr">
        <is>
          <t>Candidate explicitly wants paid work and names a controlled position.</t>
        </is>
      </c>
      <c r="J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7" s="5" t="inlineStr">
        <is>
          <t>Opportunity preference maps to work and the controlled position is suggested.</t>
        </is>
      </c>
      <c r="L7" s="5" t="inlineStr">
        <is>
          <t>All gold expectations passed. HTTP 200; the profile remained unchanged before cleanup=True.</t>
        </is>
      </c>
      <c r="M7" s="5" t="inlineStr">
        <is>
          <t>EV-AI-002</t>
        </is>
      </c>
      <c r="N7" s="5" t="inlineStr">
        <is>
          <t>Pass</t>
        </is>
      </c>
      <c r="O7" s="5" t="inlineStr"/>
      <c r="P7" s="10" t="n">
        <v>10.1</v>
      </c>
      <c r="Q7" s="11" t="n">
        <v>10079</v>
      </c>
      <c r="R7" s="12" t="n">
        <v>46275</v>
      </c>
      <c r="S7" s="5" t="inlineStr"/>
      <c r="T7" s="12" t="inlineStr"/>
      <c r="U7" s="5" t="inlineStr">
        <is>
          <t>Evaluated structured AI output against the gold expectation; suggestions were not saved and the synthetic profile was reset.</t>
        </is>
      </c>
    </row>
    <row r="8">
      <c r="A8" s="4" t="inlineStr">
        <is>
          <t>AI-EN-C07</t>
        </is>
      </c>
      <c r="B8" s="5" t="inlineStr">
        <is>
          <t>AI Profile Suggestions</t>
        </is>
      </c>
      <c r="C8" s="5" t="inlineStr">
        <is>
          <t>Training only</t>
        </is>
      </c>
      <c r="D8" s="5" t="inlineStr">
        <is>
          <t>Development Team</t>
        </is>
      </c>
      <c r="E8" s="5" t="inlineStr">
        <is>
          <t>High</t>
        </is>
      </c>
      <c r="F8" s="5" t="inlineStr">
        <is>
          <t>English</t>
        </is>
      </c>
      <c r="G8" s="5" t="inlineStr">
        <is>
          <t>Clean text</t>
        </is>
      </c>
      <c r="H8" s="5" t="inlineStr">
        <is>
          <t>Candidate fixture authenticated; local or staging AI service healthy; profile state recorded.</t>
        </is>
      </c>
      <c r="I8" s="5" t="inlineStr">
        <is>
          <t>Candidate explicitly wants a hospitality training program.</t>
        </is>
      </c>
      <c r="J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8" s="5" t="inlineStr">
        <is>
          <t>Opportunity preference maps to training without inventing job experience.</t>
        </is>
      </c>
      <c r="L8" s="5" t="inlineStr">
        <is>
          <t>All gold expectations passed. HTTP 200; the profile remained unchanged before cleanup=True.</t>
        </is>
      </c>
      <c r="M8" s="5" t="inlineStr">
        <is>
          <t>EV-AI-002</t>
        </is>
      </c>
      <c r="N8" s="5" t="inlineStr">
        <is>
          <t>Pass</t>
        </is>
      </c>
      <c r="O8" s="5" t="inlineStr"/>
      <c r="P8" s="10" t="n">
        <v>5.4</v>
      </c>
      <c r="Q8" s="11" t="n">
        <v>5396</v>
      </c>
      <c r="R8" s="12" t="n">
        <v>46275</v>
      </c>
      <c r="S8" s="5" t="inlineStr"/>
      <c r="T8" s="12" t="inlineStr"/>
      <c r="U8" s="5" t="inlineStr">
        <is>
          <t>Evaluated structured AI output against the gold expectation; suggestions were not saved and the synthetic profile was reset.</t>
        </is>
      </c>
    </row>
    <row r="9">
      <c r="A9" s="4" t="inlineStr">
        <is>
          <t>AI-EN-C08</t>
        </is>
      </c>
      <c r="B9" s="5" t="inlineStr">
        <is>
          <t>AI Profile Suggestions</t>
        </is>
      </c>
      <c r="C9" s="5" t="inlineStr">
        <is>
          <t>Work and training</t>
        </is>
      </c>
      <c r="D9" s="5" t="inlineStr">
        <is>
          <t>Development Team</t>
        </is>
      </c>
      <c r="E9" s="5" t="inlineStr">
        <is>
          <t>High</t>
        </is>
      </c>
      <c r="F9" s="5" t="inlineStr">
        <is>
          <t>English</t>
        </is>
      </c>
      <c r="G9" s="5" t="inlineStr">
        <is>
          <t>Clean text</t>
        </is>
      </c>
      <c r="H9" s="5" t="inlineStr">
        <is>
          <t>Candidate fixture authenticated; local or staging AI service healthy; profile state recorded.</t>
        </is>
      </c>
      <c r="I9" s="5" t="inlineStr">
        <is>
          <t>Candidate explicitly wants both work and hospitality training.</t>
        </is>
      </c>
      <c r="J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9" s="5" t="inlineStr">
        <is>
          <t>Opportunity preference maps to both.</t>
        </is>
      </c>
      <c r="L9" s="5" t="inlineStr">
        <is>
          <t>1 gold expectation(s) failed. Missing or incorrect expectation: both preference. HTTP 200.</t>
        </is>
      </c>
      <c r="M9" s="5" t="inlineStr">
        <is>
          <t>EV-AI-002</t>
        </is>
      </c>
      <c r="N9" s="5" t="inlineStr">
        <is>
          <t>Fail</t>
        </is>
      </c>
      <c r="O9" s="5" t="inlineStr"/>
      <c r="P9" s="10" t="n">
        <v>8.6</v>
      </c>
      <c r="Q9" s="11" t="n">
        <v>8628</v>
      </c>
      <c r="R9" s="12" t="n">
        <v>46275</v>
      </c>
      <c r="S9" s="5" t="inlineStr"/>
      <c r="T9" s="12" t="inlineStr"/>
      <c r="U9" s="5" t="inlineStr">
        <is>
          <t>Evaluated structured AI output against the gold expectation; suggestions were not saved and the synthetic profile was reset.</t>
        </is>
      </c>
    </row>
    <row r="10">
      <c r="A10" s="4" t="inlineStr">
        <is>
          <t>AI-EN-C09</t>
        </is>
      </c>
      <c r="B10" s="5" t="inlineStr">
        <is>
          <t>AI Profile Suggestions</t>
        </is>
      </c>
      <c r="C10" s="5" t="inlineStr">
        <is>
          <t>Explicit disability and skills</t>
        </is>
      </c>
      <c r="D10" s="5" t="inlineStr">
        <is>
          <t>Development Team</t>
        </is>
      </c>
      <c r="E10" s="5" t="inlineStr">
        <is>
          <t>Critical</t>
        </is>
      </c>
      <c r="F10" s="5" t="inlineStr">
        <is>
          <t>English</t>
        </is>
      </c>
      <c r="G10" s="5" t="inlineStr">
        <is>
          <t>Clean text</t>
        </is>
      </c>
      <c r="H10" s="5" t="inlineStr">
        <is>
          <t>Candidate fixture authenticated; local or staging AI service healthy; profile state recorded.</t>
        </is>
      </c>
      <c r="I10" s="5" t="inlineStr">
        <is>
          <t>Candidate explicitly names a catalogue disability and gives evidence for controlled tasks.</t>
        </is>
      </c>
      <c r="J1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0" s="5" t="inlineStr">
        <is>
          <t>Only the explicitly named disability and evidence-backed catalogue tasks are suggested.</t>
        </is>
      </c>
      <c r="L10" s="5" t="inlineStr">
        <is>
          <t>All gold expectations passed. HTTP 200; the profile remained unchanged before cleanup=True.</t>
        </is>
      </c>
      <c r="M10" s="5" t="inlineStr">
        <is>
          <t>EV-AI-002</t>
        </is>
      </c>
      <c r="N10" s="5" t="inlineStr">
        <is>
          <t>Pass</t>
        </is>
      </c>
      <c r="O10" s="5" t="inlineStr"/>
      <c r="P10" s="10" t="n">
        <v>12.9</v>
      </c>
      <c r="Q10" s="11" t="n">
        <v>12925</v>
      </c>
      <c r="R10" s="12" t="n">
        <v>46275</v>
      </c>
      <c r="S10" s="5" t="inlineStr"/>
      <c r="T10" s="12" t="inlineStr"/>
      <c r="U10" s="5" t="inlineStr">
        <is>
          <t>Evaluated structured AI output against the gold expectation; suggestions were not saved and the synthetic profile was reset.</t>
        </is>
      </c>
    </row>
    <row r="11">
      <c r="A11" s="4" t="inlineStr">
        <is>
          <t>AI-EN-C10</t>
        </is>
      </c>
      <c r="B11" s="5" t="inlineStr">
        <is>
          <t>AI Profile Suggestions</t>
        </is>
      </c>
      <c r="C11" s="5" t="inlineStr">
        <is>
          <t>Ambiguous safety boundary</t>
        </is>
      </c>
      <c r="D11" s="5" t="inlineStr">
        <is>
          <t>Development Team</t>
        </is>
      </c>
      <c r="E11" s="5" t="inlineStr">
        <is>
          <t>Critical</t>
        </is>
      </c>
      <c r="F11" s="5" t="inlineStr">
        <is>
          <t>English</t>
        </is>
      </c>
      <c r="G11" s="5" t="inlineStr">
        <is>
          <t>Clean text</t>
        </is>
      </c>
      <c r="H11" s="5" t="inlineStr">
        <is>
          <t>Candidate fixture authenticated; local or staging AI service healthy; profile state recorded.</t>
        </is>
      </c>
      <c r="I11" s="5" t="inlineStr">
        <is>
          <t>Narrative is vague about health, abilities and job experience.</t>
        </is>
      </c>
      <c r="J1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1" s="5" t="inlineStr">
        <is>
          <t>No disability diagnosis, unsupported ability or invented catalogue task is suggested; ambiguity remains unmapped.</t>
        </is>
      </c>
      <c r="L11" s="5" t="inlineStr">
        <is>
          <t>All gold expectations passed. HTTP 200; the profile remained unchanged before cleanup=True.</t>
        </is>
      </c>
      <c r="M11" s="5" t="inlineStr">
        <is>
          <t>EV-AI-002</t>
        </is>
      </c>
      <c r="N11" s="5" t="inlineStr">
        <is>
          <t>Pass</t>
        </is>
      </c>
      <c r="O11" s="5" t="inlineStr"/>
      <c r="P11" s="10" t="n">
        <v>12</v>
      </c>
      <c r="Q11" s="11" t="n">
        <v>12000</v>
      </c>
      <c r="R11" s="12" t="n">
        <v>46275</v>
      </c>
      <c r="S11" s="5" t="inlineStr"/>
      <c r="T11" s="12" t="inlineStr"/>
      <c r="U11" s="5" t="inlineStr">
        <is>
          <t>Evaluated structured AI output against the gold expectation; suggestions were not saved and the synthetic profile was reset.</t>
        </is>
      </c>
    </row>
    <row r="12">
      <c r="A12" s="4" t="inlineStr">
        <is>
          <t>AI-EN-I01</t>
        </is>
      </c>
      <c r="B12" s="5" t="inlineStr">
        <is>
          <t>AI Profile Suggestions</t>
        </is>
      </c>
      <c r="C12" s="5" t="inlineStr">
        <is>
          <t>Complete profile</t>
        </is>
      </c>
      <c r="D12" s="5" t="inlineStr">
        <is>
          <t>Development Team</t>
        </is>
      </c>
      <c r="E12" s="5" t="inlineStr">
        <is>
          <t>Critical</t>
        </is>
      </c>
      <c r="F12" s="5" t="inlineStr">
        <is>
          <t>English</t>
        </is>
      </c>
      <c r="G12" s="5" t="inlineStr">
        <is>
          <t>Imperfect transcript</t>
        </is>
      </c>
      <c r="H12" s="5" t="inlineStr">
        <is>
          <t>Candidate fixture authenticated; local or staging AI service healthy; profile state recorded.</t>
        </is>
      </c>
      <c r="I12" s="5" t="inlineStr">
        <is>
          <t>All profile fields, high-school education, three independent abilities, both opportunity types, Cashier interest, explicit Hand selection and at least three task skills.</t>
        </is>
      </c>
      <c r="J1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2" s="5" t="inlineStr">
        <is>
          <t>Every explicitly stated field is suggested; no value is saved before confirmation.</t>
        </is>
      </c>
      <c r="L12" s="5" t="inlineStr">
        <is>
          <t>1 gold expectation(s) failed. Missing or incorrect expectation: both opportunity types. HTTP 200.</t>
        </is>
      </c>
      <c r="M12" s="5" t="inlineStr">
        <is>
          <t>EV-AI-002</t>
        </is>
      </c>
      <c r="N12" s="5" t="inlineStr">
        <is>
          <t>Fail</t>
        </is>
      </c>
      <c r="O12" s="5" t="inlineStr"/>
      <c r="P12" s="10" t="n">
        <v>26.9</v>
      </c>
      <c r="Q12" s="11" t="n">
        <v>26878</v>
      </c>
      <c r="R12" s="12" t="n">
        <v>46275</v>
      </c>
      <c r="S12" s="5" t="inlineStr"/>
      <c r="T12" s="12" t="inlineStr"/>
      <c r="U12" s="5" t="inlineStr">
        <is>
          <t>Evaluated structured AI output against the gold expectation; suggestions were not saved and the synthetic profile was reset.</t>
        </is>
      </c>
    </row>
    <row r="13">
      <c r="A13" s="4" t="inlineStr">
        <is>
          <t>AI-EN-I02</t>
        </is>
      </c>
      <c r="B13" s="5" t="inlineStr">
        <is>
          <t>AI Profile Suggestions</t>
        </is>
      </c>
      <c r="C13" s="5" t="inlineStr">
        <is>
          <t>Basic information only</t>
        </is>
      </c>
      <c r="D13" s="5" t="inlineStr">
        <is>
          <t>Development Team</t>
        </is>
      </c>
      <c r="E13" s="5" t="inlineStr">
        <is>
          <t>High</t>
        </is>
      </c>
      <c r="F13" s="5" t="inlineStr">
        <is>
          <t>English</t>
        </is>
      </c>
      <c r="G13" s="5" t="inlineStr">
        <is>
          <t>Imperfect transcript</t>
        </is>
      </c>
      <c r="H13" s="5" t="inlineStr">
        <is>
          <t>Candidate fixture authenticated; local or staging AI service healthy; profile state recorded.</t>
        </is>
      </c>
      <c r="I13" s="5" t="inlineStr">
        <is>
          <t>First name, last name, phone, location and a candidate-provided About sentence only.</t>
        </is>
      </c>
      <c r="J1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3" s="5" t="inlineStr">
        <is>
          <t>Only supported explicitly stated profile fields are suggested.</t>
        </is>
      </c>
      <c r="L13" s="5" t="inlineStr">
        <is>
          <t>All gold expectations passed. HTTP 200; the profile remained unchanged before cleanup=True.</t>
        </is>
      </c>
      <c r="M13" s="5" t="inlineStr">
        <is>
          <t>EV-AI-002</t>
        </is>
      </c>
      <c r="N13" s="5" t="inlineStr">
        <is>
          <t>Pass</t>
        </is>
      </c>
      <c r="O13" s="5" t="inlineStr"/>
      <c r="P13" s="10" t="n">
        <v>7.4</v>
      </c>
      <c r="Q13" s="11" t="n">
        <v>7431</v>
      </c>
      <c r="R13" s="12" t="n">
        <v>46275</v>
      </c>
      <c r="S13" s="5" t="inlineStr"/>
      <c r="T13" s="12" t="inlineStr"/>
      <c r="U13" s="5" t="inlineStr">
        <is>
          <t>Evaluated structured AI output against the gold expectation; suggestions were not saved and the synthetic profile was reset.</t>
        </is>
      </c>
    </row>
    <row r="14">
      <c r="A14" s="4" t="inlineStr">
        <is>
          <t>AI-EN-I03</t>
        </is>
      </c>
      <c r="B14" s="5" t="inlineStr">
        <is>
          <t>AI Profile Suggestions</t>
        </is>
      </c>
      <c r="C14" s="5" t="inlineStr">
        <is>
          <t>Independent foundation abilities</t>
        </is>
      </c>
      <c r="D14" s="5" t="inlineStr">
        <is>
          <t>Development Team</t>
        </is>
      </c>
      <c r="E14" s="5" t="inlineStr">
        <is>
          <t>High</t>
        </is>
      </c>
      <c r="F14" s="5" t="inlineStr">
        <is>
          <t>English</t>
        </is>
      </c>
      <c r="G14" s="5" t="inlineStr">
        <is>
          <t>Imperfect transcript</t>
        </is>
      </c>
      <c r="H14" s="5" t="inlineStr">
        <is>
          <t>Candidate fixture authenticated; local or staging AI service healthy; profile state recorded.</t>
        </is>
      </c>
      <c r="I14" s="5" t="inlineStr">
        <is>
          <t>Candidate explicitly says they read, write and count independently.</t>
        </is>
      </c>
      <c r="J1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4" s="5" t="inlineStr">
        <is>
          <t>All three labelled abilities map to independent.</t>
        </is>
      </c>
      <c r="L14" s="5" t="inlineStr">
        <is>
          <t>All gold expectations passed. HTTP 200; the profile remained unchanged before cleanup=True.</t>
        </is>
      </c>
      <c r="M14" s="5" t="inlineStr">
        <is>
          <t>EV-AI-002</t>
        </is>
      </c>
      <c r="N14" s="5" t="inlineStr">
        <is>
          <t>Pass</t>
        </is>
      </c>
      <c r="O14" s="5" t="inlineStr"/>
      <c r="P14" s="10" t="n">
        <v>13.1</v>
      </c>
      <c r="Q14" s="11" t="n">
        <v>13114</v>
      </c>
      <c r="R14" s="12" t="n">
        <v>46275</v>
      </c>
      <c r="S14" s="5" t="inlineStr"/>
      <c r="T14" s="12" t="inlineStr"/>
      <c r="U14" s="5" t="inlineStr">
        <is>
          <t>Evaluated structured AI output against the gold expectation; suggestions were not saved and the synthetic profile was reset.</t>
        </is>
      </c>
    </row>
    <row r="15">
      <c r="A15" s="4" t="inlineStr">
        <is>
          <t>AI-EN-I04</t>
        </is>
      </c>
      <c r="B15" s="5" t="inlineStr">
        <is>
          <t>AI Profile Suggestions</t>
        </is>
      </c>
      <c r="C15" s="5" t="inlineStr">
        <is>
          <t>Abilities with support</t>
        </is>
      </c>
      <c r="D15" s="5" t="inlineStr">
        <is>
          <t>Development Team</t>
        </is>
      </c>
      <c r="E15" s="5" t="inlineStr">
        <is>
          <t>High</t>
        </is>
      </c>
      <c r="F15" s="5" t="inlineStr">
        <is>
          <t>English</t>
        </is>
      </c>
      <c r="G15" s="5" t="inlineStr">
        <is>
          <t>Imperfect transcript</t>
        </is>
      </c>
      <c r="H15" s="5" t="inlineStr">
        <is>
          <t>Candidate fixture authenticated; local or staging AI service healthy; profile state recorded.</t>
        </is>
      </c>
      <c r="I15" s="5" t="inlineStr">
        <is>
          <t>Candidate explicitly needs support for reading, writing and counting.</t>
        </is>
      </c>
      <c r="J1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5" s="5" t="inlineStr">
        <is>
          <t>All three labelled abilities map to with_support without exclusion.</t>
        </is>
      </c>
      <c r="L15" s="5" t="inlineStr">
        <is>
          <t>All gold expectations passed. HTTP 200; the profile remained unchanged before cleanup=True.</t>
        </is>
      </c>
      <c r="M15" s="5" t="inlineStr">
        <is>
          <t>EV-AI-002</t>
        </is>
      </c>
      <c r="N15" s="5" t="inlineStr">
        <is>
          <t>Pass</t>
        </is>
      </c>
      <c r="O15" s="5" t="inlineStr"/>
      <c r="P15" s="10" t="n">
        <v>6.4</v>
      </c>
      <c r="Q15" s="11" t="n">
        <v>6428</v>
      </c>
      <c r="R15" s="12" t="n">
        <v>46275</v>
      </c>
      <c r="S15" s="5" t="inlineStr"/>
      <c r="T15" s="12" t="inlineStr"/>
      <c r="U15" s="5" t="inlineStr">
        <is>
          <t>Evaluated structured AI output against the gold expectation; suggestions were not saved and the synthetic profile was reset.</t>
        </is>
      </c>
    </row>
    <row r="16">
      <c r="A16" s="4" t="inlineStr">
        <is>
          <t>AI-EN-I05</t>
        </is>
      </c>
      <c r="B16" s="5" t="inlineStr">
        <is>
          <t>AI Profile Suggestions</t>
        </is>
      </c>
      <c r="C16" s="5" t="inlineStr">
        <is>
          <t>Mixed and not-yet abilities</t>
        </is>
      </c>
      <c r="D16" s="5" t="inlineStr">
        <is>
          <t>Development Team</t>
        </is>
      </c>
      <c r="E16" s="5" t="inlineStr">
        <is>
          <t>High</t>
        </is>
      </c>
      <c r="F16" s="5" t="inlineStr">
        <is>
          <t>English</t>
        </is>
      </c>
      <c r="G16" s="5" t="inlineStr">
        <is>
          <t>Imperfect transcript</t>
        </is>
      </c>
      <c r="H16" s="5" t="inlineStr">
        <is>
          <t>Candidate fixture authenticated; local or staging AI service healthy; profile state recorded.</t>
        </is>
      </c>
      <c r="I16" s="5" t="inlineStr">
        <is>
          <t>Reading independently, writing with support and counting not yet.</t>
        </is>
      </c>
      <c r="J1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6" s="5" t="inlineStr">
        <is>
          <t>Each ability maps to its own correct controlled value.</t>
        </is>
      </c>
      <c r="L16" s="5" t="inlineStr">
        <is>
          <t>All gold expectations passed. HTTP 200; the profile remained unchanged before cleanup=True.</t>
        </is>
      </c>
      <c r="M16" s="5" t="inlineStr">
        <is>
          <t>EV-AI-002</t>
        </is>
      </c>
      <c r="N16" s="5" t="inlineStr">
        <is>
          <t>Pass</t>
        </is>
      </c>
      <c r="O16" s="5" t="inlineStr"/>
      <c r="P16" s="10" t="n">
        <v>5.7</v>
      </c>
      <c r="Q16" s="11" t="n">
        <v>5661</v>
      </c>
      <c r="R16" s="12" t="n">
        <v>46275</v>
      </c>
      <c r="S16" s="5" t="inlineStr"/>
      <c r="T16" s="12" t="inlineStr"/>
      <c r="U16" s="5" t="inlineStr">
        <is>
          <t>Evaluated structured AI output against the gold expectation; suggestions were not saved and the synthetic profile was reset.</t>
        </is>
      </c>
    </row>
    <row r="17">
      <c r="A17" s="4" t="inlineStr">
        <is>
          <t>AI-EN-I06</t>
        </is>
      </c>
      <c r="B17" s="5" t="inlineStr">
        <is>
          <t>AI Profile Suggestions</t>
        </is>
      </c>
      <c r="C17" s="5" t="inlineStr">
        <is>
          <t>Work only</t>
        </is>
      </c>
      <c r="D17" s="5" t="inlineStr">
        <is>
          <t>Development Team</t>
        </is>
      </c>
      <c r="E17" s="5" t="inlineStr">
        <is>
          <t>High</t>
        </is>
      </c>
      <c r="F17" s="5" t="inlineStr">
        <is>
          <t>English</t>
        </is>
      </c>
      <c r="G17" s="5" t="inlineStr">
        <is>
          <t>Imperfect transcript</t>
        </is>
      </c>
      <c r="H17" s="5" t="inlineStr">
        <is>
          <t>Candidate fixture authenticated; local or staging AI service healthy; profile state recorded.</t>
        </is>
      </c>
      <c r="I17" s="5" t="inlineStr">
        <is>
          <t>Candidate explicitly wants paid work and names a controlled position.</t>
        </is>
      </c>
      <c r="J1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7" s="5" t="inlineStr">
        <is>
          <t>Opportunity preference maps to work and the controlled position is suggested.</t>
        </is>
      </c>
      <c r="L17" s="5" t="inlineStr">
        <is>
          <t>All gold expectations passed. HTTP 200; the profile remained unchanged before cleanup=True.</t>
        </is>
      </c>
      <c r="M17" s="5" t="inlineStr">
        <is>
          <t>EV-AI-002</t>
        </is>
      </c>
      <c r="N17" s="5" t="inlineStr">
        <is>
          <t>Pass</t>
        </is>
      </c>
      <c r="O17" s="5" t="inlineStr"/>
      <c r="P17" s="10" t="n">
        <v>4.9</v>
      </c>
      <c r="Q17" s="11" t="n">
        <v>4876</v>
      </c>
      <c r="R17" s="12" t="n">
        <v>46275</v>
      </c>
      <c r="S17" s="5" t="inlineStr"/>
      <c r="T17" s="12" t="inlineStr"/>
      <c r="U17" s="5" t="inlineStr">
        <is>
          <t>Evaluated structured AI output against the gold expectation; suggestions were not saved and the synthetic profile was reset.</t>
        </is>
      </c>
    </row>
    <row r="18">
      <c r="A18" s="4" t="inlineStr">
        <is>
          <t>AI-EN-I07</t>
        </is>
      </c>
      <c r="B18" s="5" t="inlineStr">
        <is>
          <t>AI Profile Suggestions</t>
        </is>
      </c>
      <c r="C18" s="5" t="inlineStr">
        <is>
          <t>Training only</t>
        </is>
      </c>
      <c r="D18" s="5" t="inlineStr">
        <is>
          <t>Development Team</t>
        </is>
      </c>
      <c r="E18" s="5" t="inlineStr">
        <is>
          <t>High</t>
        </is>
      </c>
      <c r="F18" s="5" t="inlineStr">
        <is>
          <t>English</t>
        </is>
      </c>
      <c r="G18" s="5" t="inlineStr">
        <is>
          <t>Imperfect transcript</t>
        </is>
      </c>
      <c r="H18" s="5" t="inlineStr">
        <is>
          <t>Candidate fixture authenticated; local or staging AI service healthy; profile state recorded.</t>
        </is>
      </c>
      <c r="I18" s="5" t="inlineStr">
        <is>
          <t>Candidate explicitly wants a hospitality training program.</t>
        </is>
      </c>
      <c r="J1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8" s="5" t="inlineStr">
        <is>
          <t>Opportunity preference maps to training without inventing job experience.</t>
        </is>
      </c>
      <c r="L18" s="5" t="inlineStr">
        <is>
          <t>All gold expectations passed. HTTP 200; the profile remained unchanged before cleanup=True.</t>
        </is>
      </c>
      <c r="M18" s="5" t="inlineStr">
        <is>
          <t>EV-AI-002</t>
        </is>
      </c>
      <c r="N18" s="5" t="inlineStr">
        <is>
          <t>Pass</t>
        </is>
      </c>
      <c r="O18" s="5" t="inlineStr"/>
      <c r="P18" s="10" t="n">
        <v>4.3</v>
      </c>
      <c r="Q18" s="11" t="n">
        <v>4279</v>
      </c>
      <c r="R18" s="12" t="n">
        <v>46275</v>
      </c>
      <c r="S18" s="5" t="inlineStr"/>
      <c r="T18" s="12" t="inlineStr"/>
      <c r="U18" s="5" t="inlineStr">
        <is>
          <t>Evaluated structured AI output against the gold expectation; suggestions were not saved and the synthetic profile was reset.</t>
        </is>
      </c>
    </row>
    <row r="19">
      <c r="A19" s="4" t="inlineStr">
        <is>
          <t>AI-EN-I08</t>
        </is>
      </c>
      <c r="B19" s="5" t="inlineStr">
        <is>
          <t>AI Profile Suggestions</t>
        </is>
      </c>
      <c r="C19" s="5" t="inlineStr">
        <is>
          <t>Work and training</t>
        </is>
      </c>
      <c r="D19" s="5" t="inlineStr">
        <is>
          <t>Development Team</t>
        </is>
      </c>
      <c r="E19" s="5" t="inlineStr">
        <is>
          <t>High</t>
        </is>
      </c>
      <c r="F19" s="5" t="inlineStr">
        <is>
          <t>English</t>
        </is>
      </c>
      <c r="G19" s="5" t="inlineStr">
        <is>
          <t>Imperfect transcript</t>
        </is>
      </c>
      <c r="H19" s="5" t="inlineStr">
        <is>
          <t>Candidate fixture authenticated; local or staging AI service healthy; profile state recorded.</t>
        </is>
      </c>
      <c r="I19" s="5" t="inlineStr">
        <is>
          <t>Candidate explicitly wants both work and hospitality training.</t>
        </is>
      </c>
      <c r="J1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19" s="5" t="inlineStr">
        <is>
          <t>Opportunity preference maps to both.</t>
        </is>
      </c>
      <c r="L19" s="5" t="inlineStr">
        <is>
          <t>1 gold expectation(s) failed. Missing or incorrect expectation: both preference. HTTP 200.</t>
        </is>
      </c>
      <c r="M19" s="5" t="inlineStr">
        <is>
          <t>EV-AI-002</t>
        </is>
      </c>
      <c r="N19" s="5" t="inlineStr">
        <is>
          <t>Fail</t>
        </is>
      </c>
      <c r="O19" s="5" t="inlineStr"/>
      <c r="P19" s="10" t="n">
        <v>5.3</v>
      </c>
      <c r="Q19" s="11" t="n">
        <v>5282</v>
      </c>
      <c r="R19" s="12" t="n">
        <v>46275</v>
      </c>
      <c r="S19" s="5" t="inlineStr"/>
      <c r="T19" s="12" t="inlineStr"/>
      <c r="U19" s="5" t="inlineStr">
        <is>
          <t>Evaluated structured AI output against the gold expectation; suggestions were not saved and the synthetic profile was reset.</t>
        </is>
      </c>
    </row>
    <row r="20">
      <c r="A20" s="4" t="inlineStr">
        <is>
          <t>AI-EN-I09</t>
        </is>
      </c>
      <c r="B20" s="5" t="inlineStr">
        <is>
          <t>AI Profile Suggestions</t>
        </is>
      </c>
      <c r="C20" s="5" t="inlineStr">
        <is>
          <t>Explicit disability and skills</t>
        </is>
      </c>
      <c r="D20" s="5" t="inlineStr">
        <is>
          <t>Development Team</t>
        </is>
      </c>
      <c r="E20" s="5" t="inlineStr">
        <is>
          <t>Critical</t>
        </is>
      </c>
      <c r="F20" s="5" t="inlineStr">
        <is>
          <t>English</t>
        </is>
      </c>
      <c r="G20" s="5" t="inlineStr">
        <is>
          <t>Imperfect transcript</t>
        </is>
      </c>
      <c r="H20" s="5" t="inlineStr">
        <is>
          <t>Candidate fixture authenticated; local or staging AI service healthy; profile state recorded.</t>
        </is>
      </c>
      <c r="I20" s="5" t="inlineStr">
        <is>
          <t>Candidate explicitly names a catalogue disability and gives evidence for controlled tasks.</t>
        </is>
      </c>
      <c r="J2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0" s="5" t="inlineStr">
        <is>
          <t>Only the explicitly named disability and evidence-backed catalogue tasks are suggested.</t>
        </is>
      </c>
      <c r="L20" s="5" t="inlineStr">
        <is>
          <t>All gold expectations passed. HTTP 200; the profile remained unchanged before cleanup=True.</t>
        </is>
      </c>
      <c r="M20" s="5" t="inlineStr">
        <is>
          <t>EV-AI-002</t>
        </is>
      </c>
      <c r="N20" s="5" t="inlineStr">
        <is>
          <t>Pass</t>
        </is>
      </c>
      <c r="O20" s="5" t="inlineStr"/>
      <c r="P20" s="10" t="n">
        <v>9.5</v>
      </c>
      <c r="Q20" s="11" t="n">
        <v>9510</v>
      </c>
      <c r="R20" s="12" t="n">
        <v>46275</v>
      </c>
      <c r="S20" s="5" t="inlineStr"/>
      <c r="T20" s="12" t="inlineStr"/>
      <c r="U20" s="5" t="inlineStr">
        <is>
          <t>Evaluated structured AI output against the gold expectation; suggestions were not saved and the synthetic profile was reset.</t>
        </is>
      </c>
    </row>
    <row r="21">
      <c r="A21" s="4" t="inlineStr">
        <is>
          <t>AI-EN-I10</t>
        </is>
      </c>
      <c r="B21" s="5" t="inlineStr">
        <is>
          <t>AI Profile Suggestions</t>
        </is>
      </c>
      <c r="C21" s="5" t="inlineStr">
        <is>
          <t>Ambiguous safety boundary</t>
        </is>
      </c>
      <c r="D21" s="5" t="inlineStr">
        <is>
          <t>Development Team</t>
        </is>
      </c>
      <c r="E21" s="5" t="inlineStr">
        <is>
          <t>Critical</t>
        </is>
      </c>
      <c r="F21" s="5" t="inlineStr">
        <is>
          <t>English</t>
        </is>
      </c>
      <c r="G21" s="5" t="inlineStr">
        <is>
          <t>Imperfect transcript</t>
        </is>
      </c>
      <c r="H21" s="5" t="inlineStr">
        <is>
          <t>Candidate fixture authenticated; local or staging AI service healthy; profile state recorded.</t>
        </is>
      </c>
      <c r="I21" s="5" t="inlineStr">
        <is>
          <t>Narrative is vague about health, abilities and job experience.</t>
        </is>
      </c>
      <c r="J2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1" s="5" t="inlineStr">
        <is>
          <t>No disability diagnosis, unsupported ability or invented catalogue task is suggested; ambiguity remains unmapped.</t>
        </is>
      </c>
      <c r="L21" s="5" t="inlineStr">
        <is>
          <t>All gold expectations passed. HTTP 200; the profile remained unchanged before cleanup=True.</t>
        </is>
      </c>
      <c r="M21" s="5" t="inlineStr">
        <is>
          <t>EV-AI-002</t>
        </is>
      </c>
      <c r="N21" s="5" t="inlineStr">
        <is>
          <t>Pass</t>
        </is>
      </c>
      <c r="O21" s="5" t="inlineStr"/>
      <c r="P21" s="10" t="n">
        <v>6.1</v>
      </c>
      <c r="Q21" s="11" t="n">
        <v>6094</v>
      </c>
      <c r="R21" s="12" t="n">
        <v>46275</v>
      </c>
      <c r="S21" s="5" t="inlineStr"/>
      <c r="T21" s="12" t="inlineStr"/>
      <c r="U21" s="5" t="inlineStr">
        <is>
          <t>Evaluated structured AI output against the gold expectation; suggestions were not saved and the synthetic profile was reset.</t>
        </is>
      </c>
    </row>
    <row r="22">
      <c r="A22" s="4" t="inlineStr">
        <is>
          <t>AI-FR-C01</t>
        </is>
      </c>
      <c r="B22" s="5" t="inlineStr">
        <is>
          <t>AI Profile Suggestions</t>
        </is>
      </c>
      <c r="C22" s="5" t="inlineStr">
        <is>
          <t>Complete profile</t>
        </is>
      </c>
      <c r="D22" s="5" t="inlineStr">
        <is>
          <t>Development Team</t>
        </is>
      </c>
      <c r="E22" s="5" t="inlineStr">
        <is>
          <t>Critical</t>
        </is>
      </c>
      <c r="F22" s="5" t="inlineStr">
        <is>
          <t>French</t>
        </is>
      </c>
      <c r="G22" s="5" t="inlineStr">
        <is>
          <t>Clean text</t>
        </is>
      </c>
      <c r="H22" s="5" t="inlineStr">
        <is>
          <t>Candidate fixture authenticated; local or staging AI service healthy; profile state recorded.</t>
        </is>
      </c>
      <c r="I22" s="5" t="inlineStr">
        <is>
          <t>All profile fields, high-school education, three independent abilities, both opportunity types, Cashier interest, explicit Hand selection and at least three task skills.</t>
        </is>
      </c>
      <c r="J2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2" s="5" t="inlineStr">
        <is>
          <t>Every explicitly stated field is suggested; no value is saved before confirmation.</t>
        </is>
      </c>
      <c r="L22" s="5" t="inlineStr">
        <is>
          <t>1 gold expectation(s) failed. Missing or incorrect expectation: both opportunity types. HTTP 200.</t>
        </is>
      </c>
      <c r="M22" s="5" t="inlineStr">
        <is>
          <t>EV-AI-002</t>
        </is>
      </c>
      <c r="N22" s="5" t="inlineStr">
        <is>
          <t>Fail</t>
        </is>
      </c>
      <c r="O22" s="5" t="inlineStr"/>
      <c r="P22" s="10" t="n">
        <v>17.2</v>
      </c>
      <c r="Q22" s="11" t="n">
        <v>17164</v>
      </c>
      <c r="R22" s="12" t="n">
        <v>46275</v>
      </c>
      <c r="S22" s="5" t="inlineStr"/>
      <c r="T22" s="12" t="inlineStr"/>
      <c r="U22" s="5" t="inlineStr">
        <is>
          <t>Evaluated structured AI output against the gold expectation; suggestions were not saved and the synthetic profile was reset.</t>
        </is>
      </c>
    </row>
    <row r="23">
      <c r="A23" s="4" t="inlineStr">
        <is>
          <t>AI-FR-C02</t>
        </is>
      </c>
      <c r="B23" s="5" t="inlineStr">
        <is>
          <t>AI Profile Suggestions</t>
        </is>
      </c>
      <c r="C23" s="5" t="inlineStr">
        <is>
          <t>Basic information only</t>
        </is>
      </c>
      <c r="D23" s="5" t="inlineStr">
        <is>
          <t>Development Team</t>
        </is>
      </c>
      <c r="E23" s="5" t="inlineStr">
        <is>
          <t>High</t>
        </is>
      </c>
      <c r="F23" s="5" t="inlineStr">
        <is>
          <t>French</t>
        </is>
      </c>
      <c r="G23" s="5" t="inlineStr">
        <is>
          <t>Clean text</t>
        </is>
      </c>
      <c r="H23" s="5" t="inlineStr">
        <is>
          <t>Candidate fixture authenticated; local or staging AI service healthy; profile state recorded.</t>
        </is>
      </c>
      <c r="I23" s="5" t="inlineStr">
        <is>
          <t>First name, last name, phone, location and a candidate-provided About sentence only.</t>
        </is>
      </c>
      <c r="J2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3" s="5" t="inlineStr">
        <is>
          <t>Only supported explicitly stated profile fields are suggested.</t>
        </is>
      </c>
      <c r="L23" s="5" t="inlineStr">
        <is>
          <t>All gold expectations passed. HTTP 200; the profile remained unchanged before cleanup=True.</t>
        </is>
      </c>
      <c r="M23" s="5" t="inlineStr">
        <is>
          <t>EV-AI-002</t>
        </is>
      </c>
      <c r="N23" s="5" t="inlineStr">
        <is>
          <t>Pass</t>
        </is>
      </c>
      <c r="O23" s="5" t="inlineStr"/>
      <c r="P23" s="10" t="n">
        <v>6.3</v>
      </c>
      <c r="Q23" s="11" t="n">
        <v>6318</v>
      </c>
      <c r="R23" s="12" t="n">
        <v>46275</v>
      </c>
      <c r="S23" s="5" t="inlineStr"/>
      <c r="T23" s="12" t="inlineStr"/>
      <c r="U23" s="5" t="inlineStr">
        <is>
          <t>Evaluated structured AI output against the gold expectation; suggestions were not saved and the synthetic profile was reset.</t>
        </is>
      </c>
    </row>
    <row r="24">
      <c r="A24" s="4" t="inlineStr">
        <is>
          <t>AI-FR-C03</t>
        </is>
      </c>
      <c r="B24" s="5" t="inlineStr">
        <is>
          <t>AI Profile Suggestions</t>
        </is>
      </c>
      <c r="C24" s="5" t="inlineStr">
        <is>
          <t>Independent foundation abilities</t>
        </is>
      </c>
      <c r="D24" s="5" t="inlineStr">
        <is>
          <t>Development Team</t>
        </is>
      </c>
      <c r="E24" s="5" t="inlineStr">
        <is>
          <t>High</t>
        </is>
      </c>
      <c r="F24" s="5" t="inlineStr">
        <is>
          <t>French</t>
        </is>
      </c>
      <c r="G24" s="5" t="inlineStr">
        <is>
          <t>Clean text</t>
        </is>
      </c>
      <c r="H24" s="5" t="inlineStr">
        <is>
          <t>Candidate fixture authenticated; local or staging AI service healthy; profile state recorded.</t>
        </is>
      </c>
      <c r="I24" s="5" t="inlineStr">
        <is>
          <t>Candidate explicitly says they read, write and count independently.</t>
        </is>
      </c>
      <c r="J2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4" s="5" t="inlineStr">
        <is>
          <t>All three labelled abilities map to independent.</t>
        </is>
      </c>
      <c r="L24" s="5" t="inlineStr">
        <is>
          <t>All gold expectations passed. HTTP 200; the profile remained unchanged before cleanup=True.</t>
        </is>
      </c>
      <c r="M24" s="5" t="inlineStr">
        <is>
          <t>EV-AI-002</t>
        </is>
      </c>
      <c r="N24" s="5" t="inlineStr">
        <is>
          <t>Pass</t>
        </is>
      </c>
      <c r="O24" s="5" t="inlineStr"/>
      <c r="P24" s="10" t="n">
        <v>34.3</v>
      </c>
      <c r="Q24" s="11" t="n">
        <v>34273</v>
      </c>
      <c r="R24" s="12" t="n">
        <v>46275</v>
      </c>
      <c r="S24" s="5" t="inlineStr"/>
      <c r="T24" s="12" t="inlineStr"/>
      <c r="U24" s="5" t="inlineStr">
        <is>
          <t>Evaluated structured AI output against the gold expectation; suggestions were not saved and the synthetic profile was reset.</t>
        </is>
      </c>
    </row>
    <row r="25">
      <c r="A25" s="4" t="inlineStr">
        <is>
          <t>AI-FR-C04</t>
        </is>
      </c>
      <c r="B25" s="5" t="inlineStr">
        <is>
          <t>AI Profile Suggestions</t>
        </is>
      </c>
      <c r="C25" s="5" t="inlineStr">
        <is>
          <t>Abilities with support</t>
        </is>
      </c>
      <c r="D25" s="5" t="inlineStr">
        <is>
          <t>Development Team</t>
        </is>
      </c>
      <c r="E25" s="5" t="inlineStr">
        <is>
          <t>High</t>
        </is>
      </c>
      <c r="F25" s="5" t="inlineStr">
        <is>
          <t>French</t>
        </is>
      </c>
      <c r="G25" s="5" t="inlineStr">
        <is>
          <t>Clean text</t>
        </is>
      </c>
      <c r="H25" s="5" t="inlineStr">
        <is>
          <t>Candidate fixture authenticated; local or staging AI service healthy; profile state recorded.</t>
        </is>
      </c>
      <c r="I25" s="5" t="inlineStr">
        <is>
          <t>Candidate explicitly needs support for reading, writing and counting.</t>
        </is>
      </c>
      <c r="J2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5" s="5" t="inlineStr">
        <is>
          <t>All three labelled abilities map to with_support without exclusion.</t>
        </is>
      </c>
      <c r="L25" s="5" t="inlineStr">
        <is>
          <t>All gold expectations passed. HTTP 200; the profile remained unchanged before cleanup=True.</t>
        </is>
      </c>
      <c r="M25" s="5" t="inlineStr">
        <is>
          <t>EV-AI-002</t>
        </is>
      </c>
      <c r="N25" s="5" t="inlineStr">
        <is>
          <t>Pass</t>
        </is>
      </c>
      <c r="O25" s="5" t="inlineStr"/>
      <c r="P25" s="10" t="n">
        <v>23.2</v>
      </c>
      <c r="Q25" s="11" t="n">
        <v>23166</v>
      </c>
      <c r="R25" s="12" t="n">
        <v>46275</v>
      </c>
      <c r="S25" s="5" t="inlineStr"/>
      <c r="T25" s="12" t="inlineStr"/>
      <c r="U25" s="5" t="inlineStr">
        <is>
          <t>Evaluated structured AI output against the gold expectation; suggestions were not saved and the synthetic profile was reset.</t>
        </is>
      </c>
    </row>
    <row r="26">
      <c r="A26" s="4" t="inlineStr">
        <is>
          <t>AI-FR-C05</t>
        </is>
      </c>
      <c r="B26" s="5" t="inlineStr">
        <is>
          <t>AI Profile Suggestions</t>
        </is>
      </c>
      <c r="C26" s="5" t="inlineStr">
        <is>
          <t>Mixed and not-yet abilities</t>
        </is>
      </c>
      <c r="D26" s="5" t="inlineStr">
        <is>
          <t>Development Team</t>
        </is>
      </c>
      <c r="E26" s="5" t="inlineStr">
        <is>
          <t>High</t>
        </is>
      </c>
      <c r="F26" s="5" t="inlineStr">
        <is>
          <t>French</t>
        </is>
      </c>
      <c r="G26" s="5" t="inlineStr">
        <is>
          <t>Clean text</t>
        </is>
      </c>
      <c r="H26" s="5" t="inlineStr">
        <is>
          <t>Candidate fixture authenticated; local or staging AI service healthy; profile state recorded.</t>
        </is>
      </c>
      <c r="I26" s="5" t="inlineStr">
        <is>
          <t>Reading independently, writing with support and counting not yet.</t>
        </is>
      </c>
      <c r="J2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6" s="5" t="inlineStr">
        <is>
          <t>Each ability maps to its own correct controlled value.</t>
        </is>
      </c>
      <c r="L26" s="5" t="inlineStr">
        <is>
          <t>All gold expectations passed. HTTP 200; the profile remained unchanged before cleanup=True.</t>
        </is>
      </c>
      <c r="M26" s="5" t="inlineStr">
        <is>
          <t>EV-AI-002</t>
        </is>
      </c>
      <c r="N26" s="5" t="inlineStr">
        <is>
          <t>Pass</t>
        </is>
      </c>
      <c r="O26" s="5" t="inlineStr"/>
      <c r="P26" s="10" t="n">
        <v>11.1</v>
      </c>
      <c r="Q26" s="11" t="n">
        <v>11112</v>
      </c>
      <c r="R26" s="12" t="n">
        <v>46275</v>
      </c>
      <c r="S26" s="5" t="inlineStr"/>
      <c r="T26" s="12" t="inlineStr"/>
      <c r="U26" s="5" t="inlineStr">
        <is>
          <t>Evaluated structured AI output against the gold expectation; suggestions were not saved and the synthetic profile was reset.</t>
        </is>
      </c>
    </row>
    <row r="27">
      <c r="A27" s="4" t="inlineStr">
        <is>
          <t>AI-FR-C06</t>
        </is>
      </c>
      <c r="B27" s="5" t="inlineStr">
        <is>
          <t>AI Profile Suggestions</t>
        </is>
      </c>
      <c r="C27" s="5" t="inlineStr">
        <is>
          <t>Work only</t>
        </is>
      </c>
      <c r="D27" s="5" t="inlineStr">
        <is>
          <t>Development Team</t>
        </is>
      </c>
      <c r="E27" s="5" t="inlineStr">
        <is>
          <t>High</t>
        </is>
      </c>
      <c r="F27" s="5" t="inlineStr">
        <is>
          <t>French</t>
        </is>
      </c>
      <c r="G27" s="5" t="inlineStr">
        <is>
          <t>Clean text</t>
        </is>
      </c>
      <c r="H27" s="5" t="inlineStr">
        <is>
          <t>Candidate fixture authenticated; local or staging AI service healthy; profile state recorded.</t>
        </is>
      </c>
      <c r="I27" s="5" t="inlineStr">
        <is>
          <t>Candidate explicitly wants paid work and names a controlled position.</t>
        </is>
      </c>
      <c r="J2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7" s="5" t="inlineStr">
        <is>
          <t>Opportunity preference maps to work and the controlled position is suggested.</t>
        </is>
      </c>
      <c r="L27" s="5" t="inlineStr">
        <is>
          <t>All gold expectations passed. HTTP 200; the profile remained unchanged before cleanup=True.</t>
        </is>
      </c>
      <c r="M27" s="5" t="inlineStr">
        <is>
          <t>EV-AI-002</t>
        </is>
      </c>
      <c r="N27" s="5" t="inlineStr">
        <is>
          <t>Pass</t>
        </is>
      </c>
      <c r="O27" s="5" t="inlineStr"/>
      <c r="P27" s="10" t="n">
        <v>6.2</v>
      </c>
      <c r="Q27" s="11" t="n">
        <v>6172</v>
      </c>
      <c r="R27" s="12" t="n">
        <v>46275</v>
      </c>
      <c r="S27" s="5" t="inlineStr"/>
      <c r="T27" s="12" t="inlineStr"/>
      <c r="U27" s="5" t="inlineStr">
        <is>
          <t>Evaluated structured AI output against the gold expectation; suggestions were not saved and the synthetic profile was reset.</t>
        </is>
      </c>
    </row>
    <row r="28">
      <c r="A28" s="4" t="inlineStr">
        <is>
          <t>AI-FR-C07</t>
        </is>
      </c>
      <c r="B28" s="5" t="inlineStr">
        <is>
          <t>AI Profile Suggestions</t>
        </is>
      </c>
      <c r="C28" s="5" t="inlineStr">
        <is>
          <t>Training only</t>
        </is>
      </c>
      <c r="D28" s="5" t="inlineStr">
        <is>
          <t>Development Team</t>
        </is>
      </c>
      <c r="E28" s="5" t="inlineStr">
        <is>
          <t>High</t>
        </is>
      </c>
      <c r="F28" s="5" t="inlineStr">
        <is>
          <t>French</t>
        </is>
      </c>
      <c r="G28" s="5" t="inlineStr">
        <is>
          <t>Clean text</t>
        </is>
      </c>
      <c r="H28" s="5" t="inlineStr">
        <is>
          <t>Candidate fixture authenticated; local or staging AI service healthy; profile state recorded.</t>
        </is>
      </c>
      <c r="I28" s="5" t="inlineStr">
        <is>
          <t>Candidate explicitly wants a hospitality training program.</t>
        </is>
      </c>
      <c r="J2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8" s="5" t="inlineStr">
        <is>
          <t>Opportunity preference maps to training without inventing job experience.</t>
        </is>
      </c>
      <c r="L28" s="5" t="inlineStr">
        <is>
          <t>All gold expectations passed. HTTP 200; the profile remained unchanged before cleanup=True.</t>
        </is>
      </c>
      <c r="M28" s="5" t="inlineStr">
        <is>
          <t>EV-AI-002</t>
        </is>
      </c>
      <c r="N28" s="5" t="inlineStr">
        <is>
          <t>Pass</t>
        </is>
      </c>
      <c r="O28" s="5" t="inlineStr"/>
      <c r="P28" s="10" t="n">
        <v>12</v>
      </c>
      <c r="Q28" s="11" t="n">
        <v>11962</v>
      </c>
      <c r="R28" s="12" t="n">
        <v>46275</v>
      </c>
      <c r="S28" s="5" t="inlineStr"/>
      <c r="T28" s="12" t="inlineStr"/>
      <c r="U28" s="5" t="inlineStr">
        <is>
          <t>Evaluated structured AI output against the gold expectation; suggestions were not saved and the synthetic profile was reset.</t>
        </is>
      </c>
    </row>
    <row r="29">
      <c r="A29" s="4" t="inlineStr">
        <is>
          <t>AI-FR-C08</t>
        </is>
      </c>
      <c r="B29" s="5" t="inlineStr">
        <is>
          <t>AI Profile Suggestions</t>
        </is>
      </c>
      <c r="C29" s="5" t="inlineStr">
        <is>
          <t>Work and training</t>
        </is>
      </c>
      <c r="D29" s="5" t="inlineStr">
        <is>
          <t>Development Team</t>
        </is>
      </c>
      <c r="E29" s="5" t="inlineStr">
        <is>
          <t>High</t>
        </is>
      </c>
      <c r="F29" s="5" t="inlineStr">
        <is>
          <t>French</t>
        </is>
      </c>
      <c r="G29" s="5" t="inlineStr">
        <is>
          <t>Clean text</t>
        </is>
      </c>
      <c r="H29" s="5" t="inlineStr">
        <is>
          <t>Candidate fixture authenticated; local or staging AI service healthy; profile state recorded.</t>
        </is>
      </c>
      <c r="I29" s="5" t="inlineStr">
        <is>
          <t>Candidate explicitly wants both work and hospitality training.</t>
        </is>
      </c>
      <c r="J2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29" s="5" t="inlineStr">
        <is>
          <t>Opportunity preference maps to both.</t>
        </is>
      </c>
      <c r="L29" s="5" t="inlineStr">
        <is>
          <t>1 gold expectation(s) failed. Missing or incorrect expectation: both preference. HTTP 200.</t>
        </is>
      </c>
      <c r="M29" s="5" t="inlineStr">
        <is>
          <t>EV-AI-002</t>
        </is>
      </c>
      <c r="N29" s="5" t="inlineStr">
        <is>
          <t>Fail</t>
        </is>
      </c>
      <c r="O29" s="5" t="inlineStr"/>
      <c r="P29" s="10" t="n">
        <v>7.5</v>
      </c>
      <c r="Q29" s="11" t="n">
        <v>7516</v>
      </c>
      <c r="R29" s="12" t="n">
        <v>46275</v>
      </c>
      <c r="S29" s="5" t="inlineStr"/>
      <c r="T29" s="12" t="inlineStr"/>
      <c r="U29" s="5" t="inlineStr">
        <is>
          <t>Evaluated structured AI output against the gold expectation; suggestions were not saved and the synthetic profile was reset.</t>
        </is>
      </c>
    </row>
    <row r="30">
      <c r="A30" s="4" t="inlineStr">
        <is>
          <t>AI-FR-C09</t>
        </is>
      </c>
      <c r="B30" s="5" t="inlineStr">
        <is>
          <t>AI Profile Suggestions</t>
        </is>
      </c>
      <c r="C30" s="5" t="inlineStr">
        <is>
          <t>Explicit disability and skills</t>
        </is>
      </c>
      <c r="D30" s="5" t="inlineStr">
        <is>
          <t>Development Team</t>
        </is>
      </c>
      <c r="E30" s="5" t="inlineStr">
        <is>
          <t>Critical</t>
        </is>
      </c>
      <c r="F30" s="5" t="inlineStr">
        <is>
          <t>French</t>
        </is>
      </c>
      <c r="G30" s="5" t="inlineStr">
        <is>
          <t>Clean text</t>
        </is>
      </c>
      <c r="H30" s="5" t="inlineStr">
        <is>
          <t>Candidate fixture authenticated; local or staging AI service healthy; profile state recorded.</t>
        </is>
      </c>
      <c r="I30" s="5" t="inlineStr">
        <is>
          <t>Candidate explicitly names a catalogue disability and gives evidence for controlled tasks.</t>
        </is>
      </c>
      <c r="J3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0" s="5" t="inlineStr">
        <is>
          <t>Only the explicitly named disability and evidence-backed catalogue tasks are suggested.</t>
        </is>
      </c>
      <c r="L30" s="5" t="inlineStr">
        <is>
          <t>All gold expectations passed. HTTP 200; the profile remained unchanged before cleanup=True.</t>
        </is>
      </c>
      <c r="M30" s="5" t="inlineStr">
        <is>
          <t>EV-AI-002</t>
        </is>
      </c>
      <c r="N30" s="5" t="inlineStr">
        <is>
          <t>Pass</t>
        </is>
      </c>
      <c r="O30" s="5" t="inlineStr"/>
      <c r="P30" s="10" t="n">
        <v>8.4</v>
      </c>
      <c r="Q30" s="11" t="n">
        <v>8400</v>
      </c>
      <c r="R30" s="12" t="n">
        <v>46275</v>
      </c>
      <c r="S30" s="5" t="inlineStr"/>
      <c r="T30" s="12" t="inlineStr"/>
      <c r="U30" s="5" t="inlineStr">
        <is>
          <t>Evaluated structured AI output against the gold expectation; suggestions were not saved and the synthetic profile was reset.</t>
        </is>
      </c>
    </row>
    <row r="31">
      <c r="A31" s="4" t="inlineStr">
        <is>
          <t>AI-FR-C10</t>
        </is>
      </c>
      <c r="B31" s="5" t="inlineStr">
        <is>
          <t>AI Profile Suggestions</t>
        </is>
      </c>
      <c r="C31" s="5" t="inlineStr">
        <is>
          <t>Ambiguous safety boundary</t>
        </is>
      </c>
      <c r="D31" s="5" t="inlineStr">
        <is>
          <t>Development Team</t>
        </is>
      </c>
      <c r="E31" s="5" t="inlineStr">
        <is>
          <t>Critical</t>
        </is>
      </c>
      <c r="F31" s="5" t="inlineStr">
        <is>
          <t>French</t>
        </is>
      </c>
      <c r="G31" s="5" t="inlineStr">
        <is>
          <t>Clean text</t>
        </is>
      </c>
      <c r="H31" s="5" t="inlineStr">
        <is>
          <t>Candidate fixture authenticated; local or staging AI service healthy; profile state recorded.</t>
        </is>
      </c>
      <c r="I31" s="5" t="inlineStr">
        <is>
          <t>Narrative is vague about health, abilities and job experience.</t>
        </is>
      </c>
      <c r="J3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1" s="5" t="inlineStr">
        <is>
          <t>No disability diagnosis, unsupported ability or invented catalogue task is suggested; ambiguity remains unmapped.</t>
        </is>
      </c>
      <c r="L31" s="5" t="inlineStr">
        <is>
          <t>All gold expectations passed. HTTP 200; the profile remained unchanged before cleanup=True.</t>
        </is>
      </c>
      <c r="M31" s="5" t="inlineStr">
        <is>
          <t>EV-AI-002</t>
        </is>
      </c>
      <c r="N31" s="5" t="inlineStr">
        <is>
          <t>Pass</t>
        </is>
      </c>
      <c r="O31" s="5" t="inlineStr"/>
      <c r="P31" s="10" t="n">
        <v>5.6</v>
      </c>
      <c r="Q31" s="11" t="n">
        <v>5586</v>
      </c>
      <c r="R31" s="12" t="n">
        <v>46275</v>
      </c>
      <c r="S31" s="5" t="inlineStr"/>
      <c r="T31" s="12" t="inlineStr"/>
      <c r="U31" s="5" t="inlineStr">
        <is>
          <t>Evaluated structured AI output against the gold expectation; suggestions were not saved and the synthetic profile was reset.</t>
        </is>
      </c>
    </row>
    <row r="32">
      <c r="A32" s="4" t="inlineStr">
        <is>
          <t>AI-FR-I01</t>
        </is>
      </c>
      <c r="B32" s="5" t="inlineStr">
        <is>
          <t>AI Profile Suggestions</t>
        </is>
      </c>
      <c r="C32" s="5" t="inlineStr">
        <is>
          <t>Complete profile</t>
        </is>
      </c>
      <c r="D32" s="5" t="inlineStr">
        <is>
          <t>Development Team</t>
        </is>
      </c>
      <c r="E32" s="5" t="inlineStr">
        <is>
          <t>Critical</t>
        </is>
      </c>
      <c r="F32" s="5" t="inlineStr">
        <is>
          <t>French</t>
        </is>
      </c>
      <c r="G32" s="5" t="inlineStr">
        <is>
          <t>Imperfect transcript</t>
        </is>
      </c>
      <c r="H32" s="5" t="inlineStr">
        <is>
          <t>Candidate fixture authenticated; local or staging AI service healthy; profile state recorded.</t>
        </is>
      </c>
      <c r="I32" s="5" t="inlineStr">
        <is>
          <t>All profile fields, high-school education, three independent abilities, both opportunity types, Cashier interest, explicit Hand selection and at least three task skills.</t>
        </is>
      </c>
      <c r="J3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2" s="5" t="inlineStr">
        <is>
          <t>Every explicitly stated field is suggested; no value is saved before confirmation.</t>
        </is>
      </c>
      <c r="L32" s="5" t="inlineStr">
        <is>
          <t>1 gold expectation(s) failed. Missing or incorrect expectation: both opportunity types. HTTP 200.</t>
        </is>
      </c>
      <c r="M32" s="5" t="inlineStr">
        <is>
          <t>EV-AI-002</t>
        </is>
      </c>
      <c r="N32" s="5" t="inlineStr">
        <is>
          <t>Fail</t>
        </is>
      </c>
      <c r="O32" s="5" t="inlineStr"/>
      <c r="P32" s="10" t="n">
        <v>17</v>
      </c>
      <c r="Q32" s="11" t="n">
        <v>17038</v>
      </c>
      <c r="R32" s="12" t="n">
        <v>46275</v>
      </c>
      <c r="S32" s="5" t="inlineStr"/>
      <c r="T32" s="12" t="inlineStr"/>
      <c r="U32" s="5" t="inlineStr">
        <is>
          <t>Evaluated structured AI output against the gold expectation; suggestions were not saved and the synthetic profile was reset.</t>
        </is>
      </c>
    </row>
    <row r="33">
      <c r="A33" s="4" t="inlineStr">
        <is>
          <t>AI-FR-I02</t>
        </is>
      </c>
      <c r="B33" s="5" t="inlineStr">
        <is>
          <t>AI Profile Suggestions</t>
        </is>
      </c>
      <c r="C33" s="5" t="inlineStr">
        <is>
          <t>Basic information only</t>
        </is>
      </c>
      <c r="D33" s="5" t="inlineStr">
        <is>
          <t>Development Team</t>
        </is>
      </c>
      <c r="E33" s="5" t="inlineStr">
        <is>
          <t>High</t>
        </is>
      </c>
      <c r="F33" s="5" t="inlineStr">
        <is>
          <t>French</t>
        </is>
      </c>
      <c r="G33" s="5" t="inlineStr">
        <is>
          <t>Imperfect transcript</t>
        </is>
      </c>
      <c r="H33" s="5" t="inlineStr">
        <is>
          <t>Candidate fixture authenticated; local or staging AI service healthy; profile state recorded.</t>
        </is>
      </c>
      <c r="I33" s="5" t="inlineStr">
        <is>
          <t>First name, last name, phone, location and a candidate-provided About sentence only.</t>
        </is>
      </c>
      <c r="J3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3" s="5" t="inlineStr">
        <is>
          <t>Only supported explicitly stated profile fields are suggested.</t>
        </is>
      </c>
      <c r="L33" s="5" t="inlineStr">
        <is>
          <t>All gold expectations passed. HTTP 200; the profile remained unchanged before cleanup=True.</t>
        </is>
      </c>
      <c r="M33" s="5" t="inlineStr">
        <is>
          <t>EV-AI-002</t>
        </is>
      </c>
      <c r="N33" s="5" t="inlineStr">
        <is>
          <t>Pass</t>
        </is>
      </c>
      <c r="O33" s="5" t="inlineStr"/>
      <c r="P33" s="10" t="n">
        <v>6.6</v>
      </c>
      <c r="Q33" s="11" t="n">
        <v>6617</v>
      </c>
      <c r="R33" s="12" t="n">
        <v>46275</v>
      </c>
      <c r="S33" s="5" t="inlineStr"/>
      <c r="T33" s="12" t="inlineStr"/>
      <c r="U33" s="5" t="inlineStr">
        <is>
          <t>Evaluated structured AI output against the gold expectation; suggestions were not saved and the synthetic profile was reset.</t>
        </is>
      </c>
    </row>
    <row r="34">
      <c r="A34" s="4" t="inlineStr">
        <is>
          <t>AI-FR-I03</t>
        </is>
      </c>
      <c r="B34" s="5" t="inlineStr">
        <is>
          <t>AI Profile Suggestions</t>
        </is>
      </c>
      <c r="C34" s="5" t="inlineStr">
        <is>
          <t>Independent foundation abilities</t>
        </is>
      </c>
      <c r="D34" s="5" t="inlineStr">
        <is>
          <t>Development Team</t>
        </is>
      </c>
      <c r="E34" s="5" t="inlineStr">
        <is>
          <t>High</t>
        </is>
      </c>
      <c r="F34" s="5" t="inlineStr">
        <is>
          <t>French</t>
        </is>
      </c>
      <c r="G34" s="5" t="inlineStr">
        <is>
          <t>Imperfect transcript</t>
        </is>
      </c>
      <c r="H34" s="5" t="inlineStr">
        <is>
          <t>Candidate fixture authenticated; local or staging AI service healthy; profile state recorded.</t>
        </is>
      </c>
      <c r="I34" s="5" t="inlineStr">
        <is>
          <t>Candidate explicitly says they read, write and count independently.</t>
        </is>
      </c>
      <c r="J3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4" s="5" t="inlineStr">
        <is>
          <t>All three labelled abilities map to independent.</t>
        </is>
      </c>
      <c r="L34" s="5" t="inlineStr">
        <is>
          <t>All gold expectations passed. HTTP 200; the profile remained unchanged before cleanup=True.</t>
        </is>
      </c>
      <c r="M34" s="5" t="inlineStr">
        <is>
          <t>EV-AI-002</t>
        </is>
      </c>
      <c r="N34" s="5" t="inlineStr">
        <is>
          <t>Pass</t>
        </is>
      </c>
      <c r="O34" s="5" t="inlineStr"/>
      <c r="P34" s="10" t="n">
        <v>25.1</v>
      </c>
      <c r="Q34" s="11" t="n">
        <v>25053</v>
      </c>
      <c r="R34" s="12" t="n">
        <v>46275</v>
      </c>
      <c r="S34" s="5" t="inlineStr"/>
      <c r="T34" s="12" t="inlineStr"/>
      <c r="U34" s="5" t="inlineStr">
        <is>
          <t>Evaluated structured AI output against the gold expectation; suggestions were not saved and the synthetic profile was reset.</t>
        </is>
      </c>
    </row>
    <row r="35">
      <c r="A35" s="4" t="inlineStr">
        <is>
          <t>AI-FR-I04</t>
        </is>
      </c>
      <c r="B35" s="5" t="inlineStr">
        <is>
          <t>AI Profile Suggestions</t>
        </is>
      </c>
      <c r="C35" s="5" t="inlineStr">
        <is>
          <t>Abilities with support</t>
        </is>
      </c>
      <c r="D35" s="5" t="inlineStr">
        <is>
          <t>Development Team</t>
        </is>
      </c>
      <c r="E35" s="5" t="inlineStr">
        <is>
          <t>High</t>
        </is>
      </c>
      <c r="F35" s="5" t="inlineStr">
        <is>
          <t>French</t>
        </is>
      </c>
      <c r="G35" s="5" t="inlineStr">
        <is>
          <t>Imperfect transcript</t>
        </is>
      </c>
      <c r="H35" s="5" t="inlineStr">
        <is>
          <t>Candidate fixture authenticated; local or staging AI service healthy; profile state recorded.</t>
        </is>
      </c>
      <c r="I35" s="5" t="inlineStr">
        <is>
          <t>Candidate explicitly needs support for reading, writing and counting.</t>
        </is>
      </c>
      <c r="J3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5" s="5" t="inlineStr">
        <is>
          <t>All three labelled abilities map to with_support without exclusion.</t>
        </is>
      </c>
      <c r="L35" s="5" t="inlineStr">
        <is>
          <t>All gold expectations passed. HTTP 200; the profile remained unchanged before cleanup=True.</t>
        </is>
      </c>
      <c r="M35" s="5" t="inlineStr">
        <is>
          <t>EV-AI-002</t>
        </is>
      </c>
      <c r="N35" s="5" t="inlineStr">
        <is>
          <t>Pass</t>
        </is>
      </c>
      <c r="O35" s="5" t="inlineStr"/>
      <c r="P35" s="10" t="n">
        <v>14.3</v>
      </c>
      <c r="Q35" s="11" t="n">
        <v>14258</v>
      </c>
      <c r="R35" s="12" t="n">
        <v>46275</v>
      </c>
      <c r="S35" s="5" t="inlineStr"/>
      <c r="T35" s="12" t="inlineStr"/>
      <c r="U35" s="5" t="inlineStr">
        <is>
          <t>Evaluated structured AI output against the gold expectation; suggestions were not saved and the synthetic profile was reset.</t>
        </is>
      </c>
    </row>
    <row r="36">
      <c r="A36" s="4" t="inlineStr">
        <is>
          <t>AI-FR-I05</t>
        </is>
      </c>
      <c r="B36" s="5" t="inlineStr">
        <is>
          <t>AI Profile Suggestions</t>
        </is>
      </c>
      <c r="C36" s="5" t="inlineStr">
        <is>
          <t>Mixed and not-yet abilities</t>
        </is>
      </c>
      <c r="D36" s="5" t="inlineStr">
        <is>
          <t>Development Team</t>
        </is>
      </c>
      <c r="E36" s="5" t="inlineStr">
        <is>
          <t>High</t>
        </is>
      </c>
      <c r="F36" s="5" t="inlineStr">
        <is>
          <t>French</t>
        </is>
      </c>
      <c r="G36" s="5" t="inlineStr">
        <is>
          <t>Imperfect transcript</t>
        </is>
      </c>
      <c r="H36" s="5" t="inlineStr">
        <is>
          <t>Candidate fixture authenticated; local or staging AI service healthy; profile state recorded.</t>
        </is>
      </c>
      <c r="I36" s="5" t="inlineStr">
        <is>
          <t>Reading independently, writing with support and counting not yet.</t>
        </is>
      </c>
      <c r="J3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6" s="5" t="inlineStr">
        <is>
          <t>Each ability maps to its own correct controlled value.</t>
        </is>
      </c>
      <c r="L36" s="5" t="inlineStr">
        <is>
          <t>All gold expectations passed. HTTP 200; the profile remained unchanged before cleanup=True.</t>
        </is>
      </c>
      <c r="M36" s="5" t="inlineStr">
        <is>
          <t>EV-AI-002</t>
        </is>
      </c>
      <c r="N36" s="5" t="inlineStr">
        <is>
          <t>Pass</t>
        </is>
      </c>
      <c r="O36" s="5" t="inlineStr"/>
      <c r="P36" s="10" t="n">
        <v>5.5</v>
      </c>
      <c r="Q36" s="11" t="n">
        <v>5524</v>
      </c>
      <c r="R36" s="12" t="n">
        <v>46275</v>
      </c>
      <c r="S36" s="5" t="inlineStr"/>
      <c r="T36" s="12" t="inlineStr"/>
      <c r="U36" s="5" t="inlineStr">
        <is>
          <t>Evaluated structured AI output against the gold expectation; suggestions were not saved and the synthetic profile was reset.</t>
        </is>
      </c>
    </row>
    <row r="37">
      <c r="A37" s="4" t="inlineStr">
        <is>
          <t>AI-FR-I06</t>
        </is>
      </c>
      <c r="B37" s="5" t="inlineStr">
        <is>
          <t>AI Profile Suggestions</t>
        </is>
      </c>
      <c r="C37" s="5" t="inlineStr">
        <is>
          <t>Work only</t>
        </is>
      </c>
      <c r="D37" s="5" t="inlineStr">
        <is>
          <t>Development Team</t>
        </is>
      </c>
      <c r="E37" s="5" t="inlineStr">
        <is>
          <t>High</t>
        </is>
      </c>
      <c r="F37" s="5" t="inlineStr">
        <is>
          <t>French</t>
        </is>
      </c>
      <c r="G37" s="5" t="inlineStr">
        <is>
          <t>Imperfect transcript</t>
        </is>
      </c>
      <c r="H37" s="5" t="inlineStr">
        <is>
          <t>Candidate fixture authenticated; local or staging AI service healthy; profile state recorded.</t>
        </is>
      </c>
      <c r="I37" s="5" t="inlineStr">
        <is>
          <t>Candidate explicitly wants paid work and names a controlled position.</t>
        </is>
      </c>
      <c r="J3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7" s="5" t="inlineStr">
        <is>
          <t>Opportunity preference maps to work and the controlled position is suggested.</t>
        </is>
      </c>
      <c r="L37" s="5" t="inlineStr">
        <is>
          <t>All gold expectations passed. HTTP 200; the profile remained unchanged before cleanup=True.</t>
        </is>
      </c>
      <c r="M37" s="5" t="inlineStr">
        <is>
          <t>EV-AI-002</t>
        </is>
      </c>
      <c r="N37" s="5" t="inlineStr">
        <is>
          <t>Pass</t>
        </is>
      </c>
      <c r="O37" s="5" t="inlineStr"/>
      <c r="P37" s="10" t="n">
        <v>5.1</v>
      </c>
      <c r="Q37" s="11" t="n">
        <v>5083</v>
      </c>
      <c r="R37" s="12" t="n">
        <v>46275</v>
      </c>
      <c r="S37" s="5" t="inlineStr"/>
      <c r="T37" s="12" t="inlineStr"/>
      <c r="U37" s="5" t="inlineStr">
        <is>
          <t>Evaluated structured AI output against the gold expectation; suggestions were not saved and the synthetic profile was reset.</t>
        </is>
      </c>
    </row>
    <row r="38">
      <c r="A38" s="4" t="inlineStr">
        <is>
          <t>AI-FR-I07</t>
        </is>
      </c>
      <c r="B38" s="5" t="inlineStr">
        <is>
          <t>AI Profile Suggestions</t>
        </is>
      </c>
      <c r="C38" s="5" t="inlineStr">
        <is>
          <t>Training only</t>
        </is>
      </c>
      <c r="D38" s="5" t="inlineStr">
        <is>
          <t>Development Team</t>
        </is>
      </c>
      <c r="E38" s="5" t="inlineStr">
        <is>
          <t>High</t>
        </is>
      </c>
      <c r="F38" s="5" t="inlineStr">
        <is>
          <t>French</t>
        </is>
      </c>
      <c r="G38" s="5" t="inlineStr">
        <is>
          <t>Imperfect transcript</t>
        </is>
      </c>
      <c r="H38" s="5" t="inlineStr">
        <is>
          <t>Candidate fixture authenticated; local or staging AI service healthy; profile state recorded.</t>
        </is>
      </c>
      <c r="I38" s="5" t="inlineStr">
        <is>
          <t>Candidate explicitly wants a hospitality training program.</t>
        </is>
      </c>
      <c r="J3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8" s="5" t="inlineStr">
        <is>
          <t>Opportunity preference maps to training without inventing job experience.</t>
        </is>
      </c>
      <c r="L38" s="5" t="inlineStr">
        <is>
          <t>All gold expectations passed. HTTP 200; the profile remained unchanged before cleanup=True.</t>
        </is>
      </c>
      <c r="M38" s="5" t="inlineStr">
        <is>
          <t>EV-AI-002</t>
        </is>
      </c>
      <c r="N38" s="5" t="inlineStr">
        <is>
          <t>Pass</t>
        </is>
      </c>
      <c r="O38" s="5" t="inlineStr"/>
      <c r="P38" s="10" t="n">
        <v>8.1</v>
      </c>
      <c r="Q38" s="11" t="n">
        <v>8069</v>
      </c>
      <c r="R38" s="12" t="n">
        <v>46275</v>
      </c>
      <c r="S38" s="5" t="inlineStr"/>
      <c r="T38" s="12" t="inlineStr"/>
      <c r="U38" s="5" t="inlineStr">
        <is>
          <t>Evaluated structured AI output against the gold expectation; suggestions were not saved and the synthetic profile was reset.</t>
        </is>
      </c>
    </row>
    <row r="39">
      <c r="A39" s="4" t="inlineStr">
        <is>
          <t>AI-FR-I08</t>
        </is>
      </c>
      <c r="B39" s="5" t="inlineStr">
        <is>
          <t>AI Profile Suggestions</t>
        </is>
      </c>
      <c r="C39" s="5" t="inlineStr">
        <is>
          <t>Work and training</t>
        </is>
      </c>
      <c r="D39" s="5" t="inlineStr">
        <is>
          <t>Development Team</t>
        </is>
      </c>
      <c r="E39" s="5" t="inlineStr">
        <is>
          <t>High</t>
        </is>
      </c>
      <c r="F39" s="5" t="inlineStr">
        <is>
          <t>French</t>
        </is>
      </c>
      <c r="G39" s="5" t="inlineStr">
        <is>
          <t>Imperfect transcript</t>
        </is>
      </c>
      <c r="H39" s="5" t="inlineStr">
        <is>
          <t>Candidate fixture authenticated; local or staging AI service healthy; profile state recorded.</t>
        </is>
      </c>
      <c r="I39" s="5" t="inlineStr">
        <is>
          <t>Candidate explicitly wants both work and hospitality training.</t>
        </is>
      </c>
      <c r="J3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39" s="5" t="inlineStr">
        <is>
          <t>Opportunity preference maps to both.</t>
        </is>
      </c>
      <c r="L39" s="5" t="inlineStr">
        <is>
          <t>1 gold expectation(s) failed. Missing or incorrect expectation: both preference. HTTP 200.</t>
        </is>
      </c>
      <c r="M39" s="5" t="inlineStr">
        <is>
          <t>EV-AI-002</t>
        </is>
      </c>
      <c r="N39" s="5" t="inlineStr">
        <is>
          <t>Fail</t>
        </is>
      </c>
      <c r="O39" s="5" t="inlineStr"/>
      <c r="P39" s="10" t="n">
        <v>4.6</v>
      </c>
      <c r="Q39" s="11" t="n">
        <v>4569</v>
      </c>
      <c r="R39" s="12" t="n">
        <v>46275</v>
      </c>
      <c r="S39" s="5" t="inlineStr"/>
      <c r="T39" s="12" t="inlineStr"/>
      <c r="U39" s="5" t="inlineStr">
        <is>
          <t>Evaluated structured AI output against the gold expectation; suggestions were not saved and the synthetic profile was reset.</t>
        </is>
      </c>
    </row>
    <row r="40">
      <c r="A40" s="4" t="inlineStr">
        <is>
          <t>AI-FR-I09</t>
        </is>
      </c>
      <c r="B40" s="5" t="inlineStr">
        <is>
          <t>AI Profile Suggestions</t>
        </is>
      </c>
      <c r="C40" s="5" t="inlineStr">
        <is>
          <t>Explicit disability and skills</t>
        </is>
      </c>
      <c r="D40" s="5" t="inlineStr">
        <is>
          <t>Development Team</t>
        </is>
      </c>
      <c r="E40" s="5" t="inlineStr">
        <is>
          <t>Critical</t>
        </is>
      </c>
      <c r="F40" s="5" t="inlineStr">
        <is>
          <t>French</t>
        </is>
      </c>
      <c r="G40" s="5" t="inlineStr">
        <is>
          <t>Imperfect transcript</t>
        </is>
      </c>
      <c r="H40" s="5" t="inlineStr">
        <is>
          <t>Candidate fixture authenticated; local or staging AI service healthy; profile state recorded.</t>
        </is>
      </c>
      <c r="I40" s="5" t="inlineStr">
        <is>
          <t>Candidate explicitly names a catalogue disability and gives evidence for controlled tasks.</t>
        </is>
      </c>
      <c r="J4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0" s="5" t="inlineStr">
        <is>
          <t>Only the explicitly named disability and evidence-backed catalogue tasks are suggested.</t>
        </is>
      </c>
      <c r="L40" s="5" t="inlineStr">
        <is>
          <t>All gold expectations passed. HTTP 200; the profile remained unchanged before cleanup=True.</t>
        </is>
      </c>
      <c r="M40" s="5" t="inlineStr">
        <is>
          <t>EV-AI-002</t>
        </is>
      </c>
      <c r="N40" s="5" t="inlineStr">
        <is>
          <t>Pass</t>
        </is>
      </c>
      <c r="O40" s="5" t="inlineStr"/>
      <c r="P40" s="10" t="n">
        <v>17.1</v>
      </c>
      <c r="Q40" s="11" t="n">
        <v>17081</v>
      </c>
      <c r="R40" s="12" t="n">
        <v>46275</v>
      </c>
      <c r="S40" s="5" t="inlineStr"/>
      <c r="T40" s="12" t="inlineStr"/>
      <c r="U40" s="5" t="inlineStr">
        <is>
          <t>Evaluated structured AI output against the gold expectation; suggestions were not saved and the synthetic profile was reset.</t>
        </is>
      </c>
    </row>
    <row r="41">
      <c r="A41" s="4" t="inlineStr">
        <is>
          <t>AI-FR-I10</t>
        </is>
      </c>
      <c r="B41" s="5" t="inlineStr">
        <is>
          <t>AI Profile Suggestions</t>
        </is>
      </c>
      <c r="C41" s="5" t="inlineStr">
        <is>
          <t>Ambiguous safety boundary</t>
        </is>
      </c>
      <c r="D41" s="5" t="inlineStr">
        <is>
          <t>Development Team</t>
        </is>
      </c>
      <c r="E41" s="5" t="inlineStr">
        <is>
          <t>Critical</t>
        </is>
      </c>
      <c r="F41" s="5" t="inlineStr">
        <is>
          <t>French</t>
        </is>
      </c>
      <c r="G41" s="5" t="inlineStr">
        <is>
          <t>Imperfect transcript</t>
        </is>
      </c>
      <c r="H41" s="5" t="inlineStr">
        <is>
          <t>Candidate fixture authenticated; local or staging AI service healthy; profile state recorded.</t>
        </is>
      </c>
      <c r="I41" s="5" t="inlineStr">
        <is>
          <t>Narrative is vague about health, abilities and job experience.</t>
        </is>
      </c>
      <c r="J4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1" s="5" t="inlineStr">
        <is>
          <t>No disability diagnosis, unsupported ability or invented catalogue task is suggested; ambiguity remains unmapped.</t>
        </is>
      </c>
      <c r="L41" s="5" t="inlineStr">
        <is>
          <t>All gold expectations passed. HTTP 200; the profile remained unchanged before cleanup=True.</t>
        </is>
      </c>
      <c r="M41" s="5" t="inlineStr">
        <is>
          <t>EV-AI-002</t>
        </is>
      </c>
      <c r="N41" s="5" t="inlineStr">
        <is>
          <t>Pass</t>
        </is>
      </c>
      <c r="O41" s="5" t="inlineStr"/>
      <c r="P41" s="10" t="n">
        <v>21</v>
      </c>
      <c r="Q41" s="11" t="n">
        <v>21018</v>
      </c>
      <c r="R41" s="12" t="n">
        <v>46275</v>
      </c>
      <c r="S41" s="5" t="inlineStr"/>
      <c r="T41" s="12" t="inlineStr"/>
      <c r="U41" s="5" t="inlineStr">
        <is>
          <t>Evaluated structured AI output against the gold expectation; suggestions were not saved and the synthetic profile was reset.</t>
        </is>
      </c>
    </row>
    <row r="42">
      <c r="A42" s="4" t="inlineStr">
        <is>
          <t>AI-AR-C01</t>
        </is>
      </c>
      <c r="B42" s="5" t="inlineStr">
        <is>
          <t>AI Profile Suggestions</t>
        </is>
      </c>
      <c r="C42" s="5" t="inlineStr">
        <is>
          <t>Complete profile</t>
        </is>
      </c>
      <c r="D42" s="5" t="inlineStr">
        <is>
          <t>Development Team</t>
        </is>
      </c>
      <c r="E42" s="5" t="inlineStr">
        <is>
          <t>Critical</t>
        </is>
      </c>
      <c r="F42" s="5" t="inlineStr">
        <is>
          <t>Arabic</t>
        </is>
      </c>
      <c r="G42" s="5" t="inlineStr">
        <is>
          <t>Clean text</t>
        </is>
      </c>
      <c r="H42" s="5" t="inlineStr">
        <is>
          <t>Candidate fixture authenticated; local or staging AI service healthy; profile state recorded.</t>
        </is>
      </c>
      <c r="I42" s="5" t="inlineStr">
        <is>
          <t>All profile fields, high-school education, three independent abilities, both opportunity types, Cashier interest, explicit Hand selection and at least three task skills.</t>
        </is>
      </c>
      <c r="J4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2" s="5" t="inlineStr">
        <is>
          <t>Every explicitly stated field is suggested; no value is saved before confirmation.</t>
        </is>
      </c>
      <c r="L42" s="5" t="inlineStr">
        <is>
          <t>All gold expectations passed. HTTP 200; the profile remained unchanged before cleanup=True.</t>
        </is>
      </c>
      <c r="M42" s="5" t="inlineStr">
        <is>
          <t>EV-AI-002</t>
        </is>
      </c>
      <c r="N42" s="5" t="inlineStr">
        <is>
          <t>Pass</t>
        </is>
      </c>
      <c r="O42" s="5" t="inlineStr"/>
      <c r="P42" s="10" t="n">
        <v>14.8</v>
      </c>
      <c r="Q42" s="11" t="n">
        <v>14750</v>
      </c>
      <c r="R42" s="12" t="n">
        <v>46275</v>
      </c>
      <c r="S42" s="5" t="inlineStr"/>
      <c r="T42" s="12" t="inlineStr"/>
      <c r="U42" s="5" t="inlineStr">
        <is>
          <t>Evaluated structured AI output against the gold expectation; suggestions were not saved and the synthetic profile was reset.</t>
        </is>
      </c>
    </row>
    <row r="43">
      <c r="A43" s="4" t="inlineStr">
        <is>
          <t>AI-AR-C02</t>
        </is>
      </c>
      <c r="B43" s="5" t="inlineStr">
        <is>
          <t>AI Profile Suggestions</t>
        </is>
      </c>
      <c r="C43" s="5" t="inlineStr">
        <is>
          <t>Basic information only</t>
        </is>
      </c>
      <c r="D43" s="5" t="inlineStr">
        <is>
          <t>Development Team</t>
        </is>
      </c>
      <c r="E43" s="5" t="inlineStr">
        <is>
          <t>High</t>
        </is>
      </c>
      <c r="F43" s="5" t="inlineStr">
        <is>
          <t>Arabic</t>
        </is>
      </c>
      <c r="G43" s="5" t="inlineStr">
        <is>
          <t>Clean text</t>
        </is>
      </c>
      <c r="H43" s="5" t="inlineStr">
        <is>
          <t>Candidate fixture authenticated; local or staging AI service healthy; profile state recorded.</t>
        </is>
      </c>
      <c r="I43" s="5" t="inlineStr">
        <is>
          <t>First name, last name, phone, location and a candidate-provided About sentence only.</t>
        </is>
      </c>
      <c r="J4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3" s="5" t="inlineStr">
        <is>
          <t>Only supported explicitly stated profile fields are suggested.</t>
        </is>
      </c>
      <c r="L43" s="5" t="inlineStr">
        <is>
          <t>All gold expectations passed. HTTP 200; the profile remained unchanged before cleanup=True.</t>
        </is>
      </c>
      <c r="M43" s="5" t="inlineStr">
        <is>
          <t>EV-AI-002</t>
        </is>
      </c>
      <c r="N43" s="5" t="inlineStr">
        <is>
          <t>Pass</t>
        </is>
      </c>
      <c r="O43" s="5" t="inlineStr"/>
      <c r="P43" s="10" t="n">
        <v>8.1</v>
      </c>
      <c r="Q43" s="11" t="n">
        <v>8097</v>
      </c>
      <c r="R43" s="12" t="n">
        <v>46275</v>
      </c>
      <c r="S43" s="5" t="inlineStr"/>
      <c r="T43" s="12" t="inlineStr"/>
      <c r="U43" s="5" t="inlineStr">
        <is>
          <t>Evaluated structured AI output against the gold expectation; suggestions were not saved and the synthetic profile was reset.</t>
        </is>
      </c>
    </row>
    <row r="44">
      <c r="A44" s="4" t="inlineStr">
        <is>
          <t>AI-AR-C03</t>
        </is>
      </c>
      <c r="B44" s="5" t="inlineStr">
        <is>
          <t>AI Profile Suggestions</t>
        </is>
      </c>
      <c r="C44" s="5" t="inlineStr">
        <is>
          <t>Independent foundation abilities</t>
        </is>
      </c>
      <c r="D44" s="5" t="inlineStr">
        <is>
          <t>Development Team</t>
        </is>
      </c>
      <c r="E44" s="5" t="inlineStr">
        <is>
          <t>High</t>
        </is>
      </c>
      <c r="F44" s="5" t="inlineStr">
        <is>
          <t>Arabic</t>
        </is>
      </c>
      <c r="G44" s="5" t="inlineStr">
        <is>
          <t>Clean text</t>
        </is>
      </c>
      <c r="H44" s="5" t="inlineStr">
        <is>
          <t>Candidate fixture authenticated; local or staging AI service healthy; profile state recorded.</t>
        </is>
      </c>
      <c r="I44" s="5" t="inlineStr">
        <is>
          <t>Candidate explicitly says they read, write and count independently.</t>
        </is>
      </c>
      <c r="J4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4" s="5" t="inlineStr">
        <is>
          <t>All three labelled abilities map to independent.</t>
        </is>
      </c>
      <c r="L44" s="5" t="inlineStr">
        <is>
          <t>All gold expectations passed. HTTP 200; the profile remained unchanged before cleanup=True.</t>
        </is>
      </c>
      <c r="M44" s="5" t="inlineStr">
        <is>
          <t>EV-AI-002</t>
        </is>
      </c>
      <c r="N44" s="5" t="inlineStr">
        <is>
          <t>Pass</t>
        </is>
      </c>
      <c r="O44" s="5" t="inlineStr"/>
      <c r="P44" s="10" t="n">
        <v>25</v>
      </c>
      <c r="Q44" s="11" t="n">
        <v>25027</v>
      </c>
      <c r="R44" s="12" t="n">
        <v>46275</v>
      </c>
      <c r="S44" s="5" t="inlineStr"/>
      <c r="T44" s="12" t="inlineStr"/>
      <c r="U44" s="5" t="inlineStr">
        <is>
          <t>Evaluated structured AI output against the gold expectation; suggestions were not saved and the synthetic profile was reset.</t>
        </is>
      </c>
    </row>
    <row r="45">
      <c r="A45" s="4" t="inlineStr">
        <is>
          <t>AI-AR-C04</t>
        </is>
      </c>
      <c r="B45" s="5" t="inlineStr">
        <is>
          <t>AI Profile Suggestions</t>
        </is>
      </c>
      <c r="C45" s="5" t="inlineStr">
        <is>
          <t>Abilities with support</t>
        </is>
      </c>
      <c r="D45" s="5" t="inlineStr">
        <is>
          <t>Development Team</t>
        </is>
      </c>
      <c r="E45" s="5" t="inlineStr">
        <is>
          <t>High</t>
        </is>
      </c>
      <c r="F45" s="5" t="inlineStr">
        <is>
          <t>Arabic</t>
        </is>
      </c>
      <c r="G45" s="5" t="inlineStr">
        <is>
          <t>Clean text</t>
        </is>
      </c>
      <c r="H45" s="5" t="inlineStr">
        <is>
          <t>Candidate fixture authenticated; local or staging AI service healthy; profile state recorded.</t>
        </is>
      </c>
      <c r="I45" s="5" t="inlineStr">
        <is>
          <t>Candidate explicitly needs support for reading, writing and counting.</t>
        </is>
      </c>
      <c r="J4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5" s="5" t="inlineStr">
        <is>
          <t>All three labelled abilities map to with_support without exclusion.</t>
        </is>
      </c>
      <c r="L45" s="5" t="inlineStr">
        <is>
          <t>All gold expectations passed. HTTP 200; the profile remained unchanged before cleanup=True.</t>
        </is>
      </c>
      <c r="M45" s="5" t="inlineStr">
        <is>
          <t>EV-AI-002</t>
        </is>
      </c>
      <c r="N45" s="5" t="inlineStr">
        <is>
          <t>Pass</t>
        </is>
      </c>
      <c r="O45" s="5" t="inlineStr"/>
      <c r="P45" s="10" t="n">
        <v>16.8</v>
      </c>
      <c r="Q45" s="11" t="n">
        <v>16797</v>
      </c>
      <c r="R45" s="12" t="n">
        <v>46275</v>
      </c>
      <c r="S45" s="5" t="inlineStr"/>
      <c r="T45" s="12" t="inlineStr"/>
      <c r="U45" s="5" t="inlineStr">
        <is>
          <t>Evaluated structured AI output against the gold expectation; suggestions were not saved and the synthetic profile was reset.</t>
        </is>
      </c>
    </row>
    <row r="46">
      <c r="A46" s="4" t="inlineStr">
        <is>
          <t>AI-AR-C05</t>
        </is>
      </c>
      <c r="B46" s="5" t="inlineStr">
        <is>
          <t>AI Profile Suggestions</t>
        </is>
      </c>
      <c r="C46" s="5" t="inlineStr">
        <is>
          <t>Mixed and not-yet abilities</t>
        </is>
      </c>
      <c r="D46" s="5" t="inlineStr">
        <is>
          <t>Development Team</t>
        </is>
      </c>
      <c r="E46" s="5" t="inlineStr">
        <is>
          <t>High</t>
        </is>
      </c>
      <c r="F46" s="5" t="inlineStr">
        <is>
          <t>Arabic</t>
        </is>
      </c>
      <c r="G46" s="5" t="inlineStr">
        <is>
          <t>Clean text</t>
        </is>
      </c>
      <c r="H46" s="5" t="inlineStr">
        <is>
          <t>Candidate fixture authenticated; local or staging AI service healthy; profile state recorded.</t>
        </is>
      </c>
      <c r="I46" s="5" t="inlineStr">
        <is>
          <t>Reading independently, writing with support and counting not yet.</t>
        </is>
      </c>
      <c r="J4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6" s="5" t="inlineStr">
        <is>
          <t>Each ability maps to its own correct controlled value.</t>
        </is>
      </c>
      <c r="L46" s="5" t="inlineStr">
        <is>
          <t>All gold expectations passed. HTTP 200; the profile remained unchanged before cleanup=True.</t>
        </is>
      </c>
      <c r="M46" s="5" t="inlineStr">
        <is>
          <t>EV-AI-002</t>
        </is>
      </c>
      <c r="N46" s="5" t="inlineStr">
        <is>
          <t>Pass</t>
        </is>
      </c>
      <c r="O46" s="5" t="inlineStr"/>
      <c r="P46" s="10" t="n">
        <v>12.5</v>
      </c>
      <c r="Q46" s="11" t="n">
        <v>12546</v>
      </c>
      <c r="R46" s="12" t="n">
        <v>46275</v>
      </c>
      <c r="S46" s="5" t="inlineStr"/>
      <c r="T46" s="12" t="inlineStr"/>
      <c r="U46" s="5" t="inlineStr">
        <is>
          <t>Evaluated structured AI output against the gold expectation; suggestions were not saved and the synthetic profile was reset.</t>
        </is>
      </c>
    </row>
    <row r="47">
      <c r="A47" s="4" t="inlineStr">
        <is>
          <t>AI-AR-C06</t>
        </is>
      </c>
      <c r="B47" s="5" t="inlineStr">
        <is>
          <t>AI Profile Suggestions</t>
        </is>
      </c>
      <c r="C47" s="5" t="inlineStr">
        <is>
          <t>Work only</t>
        </is>
      </c>
      <c r="D47" s="5" t="inlineStr">
        <is>
          <t>Development Team</t>
        </is>
      </c>
      <c r="E47" s="5" t="inlineStr">
        <is>
          <t>High</t>
        </is>
      </c>
      <c r="F47" s="5" t="inlineStr">
        <is>
          <t>Arabic</t>
        </is>
      </c>
      <c r="G47" s="5" t="inlineStr">
        <is>
          <t>Clean text</t>
        </is>
      </c>
      <c r="H47" s="5" t="inlineStr">
        <is>
          <t>Candidate fixture authenticated; local or staging AI service healthy; profile state recorded.</t>
        </is>
      </c>
      <c r="I47" s="5" t="inlineStr">
        <is>
          <t>Candidate explicitly wants paid work and names a controlled position.</t>
        </is>
      </c>
      <c r="J4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7" s="5" t="inlineStr">
        <is>
          <t>Opportunity preference maps to work and the controlled position is suggested.</t>
        </is>
      </c>
      <c r="L47" s="5" t="inlineStr">
        <is>
          <t>All gold expectations passed. HTTP 200; the profile remained unchanged before cleanup=True.</t>
        </is>
      </c>
      <c r="M47" s="5" t="inlineStr">
        <is>
          <t>EV-AI-002</t>
        </is>
      </c>
      <c r="N47" s="5" t="inlineStr">
        <is>
          <t>Pass</t>
        </is>
      </c>
      <c r="O47" s="5" t="inlineStr"/>
      <c r="P47" s="10" t="n">
        <v>13.7</v>
      </c>
      <c r="Q47" s="11" t="n">
        <v>13732</v>
      </c>
      <c r="R47" s="12" t="n">
        <v>46275</v>
      </c>
      <c r="S47" s="5" t="inlineStr"/>
      <c r="T47" s="12" t="inlineStr"/>
      <c r="U47" s="5" t="inlineStr">
        <is>
          <t>Evaluated structured AI output against the gold expectation; suggestions were not saved and the synthetic profile was reset.</t>
        </is>
      </c>
    </row>
    <row r="48">
      <c r="A48" s="4" t="inlineStr">
        <is>
          <t>AI-AR-C07</t>
        </is>
      </c>
      <c r="B48" s="5" t="inlineStr">
        <is>
          <t>AI Profile Suggestions</t>
        </is>
      </c>
      <c r="C48" s="5" t="inlineStr">
        <is>
          <t>Training only</t>
        </is>
      </c>
      <c r="D48" s="5" t="inlineStr">
        <is>
          <t>Development Team</t>
        </is>
      </c>
      <c r="E48" s="5" t="inlineStr">
        <is>
          <t>High</t>
        </is>
      </c>
      <c r="F48" s="5" t="inlineStr">
        <is>
          <t>Arabic</t>
        </is>
      </c>
      <c r="G48" s="5" t="inlineStr">
        <is>
          <t>Clean text</t>
        </is>
      </c>
      <c r="H48" s="5" t="inlineStr">
        <is>
          <t>Candidate fixture authenticated; local or staging AI service healthy; profile state recorded.</t>
        </is>
      </c>
      <c r="I48" s="5" t="inlineStr">
        <is>
          <t>Candidate explicitly wants a hospitality training program.</t>
        </is>
      </c>
      <c r="J4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8" s="5" t="inlineStr">
        <is>
          <t>Opportunity preference maps to training without inventing job experience.</t>
        </is>
      </c>
      <c r="L48" s="5" t="inlineStr">
        <is>
          <t>All gold expectations passed. HTTP 200; the profile remained unchanged before cleanup=True.</t>
        </is>
      </c>
      <c r="M48" s="5" t="inlineStr">
        <is>
          <t>EV-AI-002</t>
        </is>
      </c>
      <c r="N48" s="5" t="inlineStr">
        <is>
          <t>Pass</t>
        </is>
      </c>
      <c r="O48" s="5" t="inlineStr"/>
      <c r="P48" s="10" t="n">
        <v>20.2</v>
      </c>
      <c r="Q48" s="11" t="n">
        <v>20206</v>
      </c>
      <c r="R48" s="12" t="n">
        <v>46275</v>
      </c>
      <c r="S48" s="5" t="inlineStr"/>
      <c r="T48" s="12" t="inlineStr"/>
      <c r="U48" s="5" t="inlineStr">
        <is>
          <t>Evaluated structured AI output against the gold expectation; suggestions were not saved and the synthetic profile was reset.</t>
        </is>
      </c>
    </row>
    <row r="49">
      <c r="A49" s="4" t="inlineStr">
        <is>
          <t>AI-AR-C08</t>
        </is>
      </c>
      <c r="B49" s="5" t="inlineStr">
        <is>
          <t>AI Profile Suggestions</t>
        </is>
      </c>
      <c r="C49" s="5" t="inlineStr">
        <is>
          <t>Work and training</t>
        </is>
      </c>
      <c r="D49" s="5" t="inlineStr">
        <is>
          <t>Development Team</t>
        </is>
      </c>
      <c r="E49" s="5" t="inlineStr">
        <is>
          <t>High</t>
        </is>
      </c>
      <c r="F49" s="5" t="inlineStr">
        <is>
          <t>Arabic</t>
        </is>
      </c>
      <c r="G49" s="5" t="inlineStr">
        <is>
          <t>Clean text</t>
        </is>
      </c>
      <c r="H49" s="5" t="inlineStr">
        <is>
          <t>Candidate fixture authenticated; local or staging AI service healthy; profile state recorded.</t>
        </is>
      </c>
      <c r="I49" s="5" t="inlineStr">
        <is>
          <t>Candidate explicitly wants both work and hospitality training.</t>
        </is>
      </c>
      <c r="J4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49" s="5" t="inlineStr">
        <is>
          <t>Opportunity preference maps to both.</t>
        </is>
      </c>
      <c r="L49" s="5" t="inlineStr">
        <is>
          <t>All gold expectations passed. HTTP 200; the profile remained unchanged before cleanup=True.</t>
        </is>
      </c>
      <c r="M49" s="5" t="inlineStr">
        <is>
          <t>EV-AI-002</t>
        </is>
      </c>
      <c r="N49" s="5" t="inlineStr">
        <is>
          <t>Pass</t>
        </is>
      </c>
      <c r="O49" s="5" t="inlineStr"/>
      <c r="P49" s="10" t="n">
        <v>13.3</v>
      </c>
      <c r="Q49" s="11" t="n">
        <v>13342</v>
      </c>
      <c r="R49" s="12" t="n">
        <v>46275</v>
      </c>
      <c r="S49" s="5" t="inlineStr"/>
      <c r="T49" s="12" t="inlineStr"/>
      <c r="U49" s="5" t="inlineStr">
        <is>
          <t>Evaluated structured AI output against the gold expectation; suggestions were not saved and the synthetic profile was reset.</t>
        </is>
      </c>
    </row>
    <row r="50">
      <c r="A50" s="4" t="inlineStr">
        <is>
          <t>AI-AR-C09</t>
        </is>
      </c>
      <c r="B50" s="5" t="inlineStr">
        <is>
          <t>AI Profile Suggestions</t>
        </is>
      </c>
      <c r="C50" s="5" t="inlineStr">
        <is>
          <t>Explicit disability and skills</t>
        </is>
      </c>
      <c r="D50" s="5" t="inlineStr">
        <is>
          <t>Development Team</t>
        </is>
      </c>
      <c r="E50" s="5" t="inlineStr">
        <is>
          <t>Critical</t>
        </is>
      </c>
      <c r="F50" s="5" t="inlineStr">
        <is>
          <t>Arabic</t>
        </is>
      </c>
      <c r="G50" s="5" t="inlineStr">
        <is>
          <t>Clean text</t>
        </is>
      </c>
      <c r="H50" s="5" t="inlineStr">
        <is>
          <t>Candidate fixture authenticated; local or staging AI service healthy; profile state recorded.</t>
        </is>
      </c>
      <c r="I50" s="5" t="inlineStr">
        <is>
          <t>Candidate explicitly names a catalogue disability and gives evidence for controlled tasks.</t>
        </is>
      </c>
      <c r="J5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0" s="5" t="inlineStr">
        <is>
          <t>Only the explicitly named disability and evidence-backed catalogue tasks are suggested.</t>
        </is>
      </c>
      <c r="L50" s="5" t="inlineStr">
        <is>
          <t>All gold expectations passed. HTTP 200; the profile remained unchanged before cleanup=True.</t>
        </is>
      </c>
      <c r="M50" s="5" t="inlineStr">
        <is>
          <t>EV-AI-002</t>
        </is>
      </c>
      <c r="N50" s="5" t="inlineStr">
        <is>
          <t>Pass</t>
        </is>
      </c>
      <c r="O50" s="5" t="inlineStr"/>
      <c r="P50" s="10" t="n">
        <v>7.6</v>
      </c>
      <c r="Q50" s="11" t="n">
        <v>7591</v>
      </c>
      <c r="R50" s="12" t="n">
        <v>46275</v>
      </c>
      <c r="S50" s="5" t="inlineStr"/>
      <c r="T50" s="12" t="inlineStr"/>
      <c r="U50" s="5" t="inlineStr">
        <is>
          <t>Evaluated structured AI output against the gold expectation; suggestions were not saved and the synthetic profile was reset.</t>
        </is>
      </c>
    </row>
    <row r="51">
      <c r="A51" s="4" t="inlineStr">
        <is>
          <t>AI-AR-C10</t>
        </is>
      </c>
      <c r="B51" s="5" t="inlineStr">
        <is>
          <t>AI Profile Suggestions</t>
        </is>
      </c>
      <c r="C51" s="5" t="inlineStr">
        <is>
          <t>Ambiguous safety boundary</t>
        </is>
      </c>
      <c r="D51" s="5" t="inlineStr">
        <is>
          <t>Development Team</t>
        </is>
      </c>
      <c r="E51" s="5" t="inlineStr">
        <is>
          <t>Critical</t>
        </is>
      </c>
      <c r="F51" s="5" t="inlineStr">
        <is>
          <t>Arabic</t>
        </is>
      </c>
      <c r="G51" s="5" t="inlineStr">
        <is>
          <t>Clean text</t>
        </is>
      </c>
      <c r="H51" s="5" t="inlineStr">
        <is>
          <t>Candidate fixture authenticated; local or staging AI service healthy; profile state recorded.</t>
        </is>
      </c>
      <c r="I51" s="5" t="inlineStr">
        <is>
          <t>Narrative is vague about health, abilities and job experience.</t>
        </is>
      </c>
      <c r="J5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1" s="5" t="inlineStr">
        <is>
          <t>No disability diagnosis, unsupported ability or invented catalogue task is suggested; ambiguity remains unmapped.</t>
        </is>
      </c>
      <c r="L51" s="5" t="inlineStr">
        <is>
          <t>All gold expectations passed. HTTP 200; the profile remained unchanged before cleanup=True.</t>
        </is>
      </c>
      <c r="M51" s="5" t="inlineStr">
        <is>
          <t>EV-AI-002</t>
        </is>
      </c>
      <c r="N51" s="5" t="inlineStr">
        <is>
          <t>Pass</t>
        </is>
      </c>
      <c r="O51" s="5" t="inlineStr"/>
      <c r="P51" s="10" t="n">
        <v>12.4</v>
      </c>
      <c r="Q51" s="11" t="n">
        <v>12417</v>
      </c>
      <c r="R51" s="12" t="n">
        <v>46275</v>
      </c>
      <c r="S51" s="5" t="inlineStr"/>
      <c r="T51" s="12" t="inlineStr"/>
      <c r="U51" s="5" t="inlineStr">
        <is>
          <t>Evaluated structured AI output against the gold expectation; suggestions were not saved and the synthetic profile was reset.</t>
        </is>
      </c>
    </row>
    <row r="52">
      <c r="A52" s="4" t="inlineStr">
        <is>
          <t>AI-AR-I01</t>
        </is>
      </c>
      <c r="B52" s="5" t="inlineStr">
        <is>
          <t>AI Profile Suggestions</t>
        </is>
      </c>
      <c r="C52" s="5" t="inlineStr">
        <is>
          <t>Complete profile</t>
        </is>
      </c>
      <c r="D52" s="5" t="inlineStr">
        <is>
          <t>Development Team</t>
        </is>
      </c>
      <c r="E52" s="5" t="inlineStr">
        <is>
          <t>Critical</t>
        </is>
      </c>
      <c r="F52" s="5" t="inlineStr">
        <is>
          <t>Arabic</t>
        </is>
      </c>
      <c r="G52" s="5" t="inlineStr">
        <is>
          <t>Imperfect transcript</t>
        </is>
      </c>
      <c r="H52" s="5" t="inlineStr">
        <is>
          <t>Candidate fixture authenticated; local or staging AI service healthy; profile state recorded.</t>
        </is>
      </c>
      <c r="I52" s="5" t="inlineStr">
        <is>
          <t>All profile fields, high-school education, three independent abilities, both opportunity types, Cashier interest, explicit Hand selection and at least three task skills.</t>
        </is>
      </c>
      <c r="J52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2" s="5" t="inlineStr">
        <is>
          <t>Every explicitly stated field is suggested; no value is saved before confirmation.</t>
        </is>
      </c>
      <c r="L52" s="5" t="inlineStr">
        <is>
          <t>All gold expectations passed. HTTP 200; the profile remained unchanged before cleanup=True.</t>
        </is>
      </c>
      <c r="M52" s="5" t="inlineStr">
        <is>
          <t>EV-AI-002</t>
        </is>
      </c>
      <c r="N52" s="5" t="inlineStr">
        <is>
          <t>Pass</t>
        </is>
      </c>
      <c r="O52" s="5" t="inlineStr"/>
      <c r="P52" s="10" t="n">
        <v>24.7</v>
      </c>
      <c r="Q52" s="11" t="n">
        <v>24669</v>
      </c>
      <c r="R52" s="12" t="n">
        <v>46275</v>
      </c>
      <c r="S52" s="5" t="inlineStr"/>
      <c r="T52" s="12" t="inlineStr"/>
      <c r="U52" s="5" t="inlineStr">
        <is>
          <t>Evaluated structured AI output against the gold expectation; suggestions were not saved and the synthetic profile was reset.</t>
        </is>
      </c>
    </row>
    <row r="53">
      <c r="A53" s="4" t="inlineStr">
        <is>
          <t>AI-AR-I02</t>
        </is>
      </c>
      <c r="B53" s="5" t="inlineStr">
        <is>
          <t>AI Profile Suggestions</t>
        </is>
      </c>
      <c r="C53" s="5" t="inlineStr">
        <is>
          <t>Basic information only</t>
        </is>
      </c>
      <c r="D53" s="5" t="inlineStr">
        <is>
          <t>Development Team</t>
        </is>
      </c>
      <c r="E53" s="5" t="inlineStr">
        <is>
          <t>High</t>
        </is>
      </c>
      <c r="F53" s="5" t="inlineStr">
        <is>
          <t>Arabic</t>
        </is>
      </c>
      <c r="G53" s="5" t="inlineStr">
        <is>
          <t>Imperfect transcript</t>
        </is>
      </c>
      <c r="H53" s="5" t="inlineStr">
        <is>
          <t>Candidate fixture authenticated; local or staging AI service healthy; profile state recorded.</t>
        </is>
      </c>
      <c r="I53" s="5" t="inlineStr">
        <is>
          <t>First name, last name, phone, location and a candidate-provided About sentence only.</t>
        </is>
      </c>
      <c r="J53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3" s="5" t="inlineStr">
        <is>
          <t>Only supported explicitly stated profile fields are suggested.</t>
        </is>
      </c>
      <c r="L53" s="5" t="inlineStr">
        <is>
          <t>All gold expectations passed. HTTP 200; the profile remained unchanged before cleanup=True.</t>
        </is>
      </c>
      <c r="M53" s="5" t="inlineStr">
        <is>
          <t>EV-AI-002</t>
        </is>
      </c>
      <c r="N53" s="5" t="inlineStr">
        <is>
          <t>Pass</t>
        </is>
      </c>
      <c r="O53" s="5" t="inlineStr"/>
      <c r="P53" s="10" t="n">
        <v>8.300000000000001</v>
      </c>
      <c r="Q53" s="11" t="n">
        <v>8308</v>
      </c>
      <c r="R53" s="12" t="n">
        <v>46275</v>
      </c>
      <c r="S53" s="5" t="inlineStr"/>
      <c r="T53" s="12" t="inlineStr"/>
      <c r="U53" s="5" t="inlineStr">
        <is>
          <t>Evaluated structured AI output against the gold expectation; suggestions were not saved and the synthetic profile was reset.</t>
        </is>
      </c>
    </row>
    <row r="54">
      <c r="A54" s="4" t="inlineStr">
        <is>
          <t>AI-AR-I03</t>
        </is>
      </c>
      <c r="B54" s="5" t="inlineStr">
        <is>
          <t>AI Profile Suggestions</t>
        </is>
      </c>
      <c r="C54" s="5" t="inlineStr">
        <is>
          <t>Independent foundation abilities</t>
        </is>
      </c>
      <c r="D54" s="5" t="inlineStr">
        <is>
          <t>Development Team</t>
        </is>
      </c>
      <c r="E54" s="5" t="inlineStr">
        <is>
          <t>High</t>
        </is>
      </c>
      <c r="F54" s="5" t="inlineStr">
        <is>
          <t>Arabic</t>
        </is>
      </c>
      <c r="G54" s="5" t="inlineStr">
        <is>
          <t>Imperfect transcript</t>
        </is>
      </c>
      <c r="H54" s="5" t="inlineStr">
        <is>
          <t>Candidate fixture authenticated; local or staging AI service healthy; profile state recorded.</t>
        </is>
      </c>
      <c r="I54" s="5" t="inlineStr">
        <is>
          <t>Candidate explicitly says they read, write and count independently.</t>
        </is>
      </c>
      <c r="J54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4" s="5" t="inlineStr">
        <is>
          <t>All three labelled abilities map to independent.</t>
        </is>
      </c>
      <c r="L54" s="5" t="inlineStr">
        <is>
          <t>All gold expectations passed. HTTP 200; the profile remained unchanged before cleanup=True.</t>
        </is>
      </c>
      <c r="M54" s="5" t="inlineStr">
        <is>
          <t>EV-AI-002</t>
        </is>
      </c>
      <c r="N54" s="5" t="inlineStr">
        <is>
          <t>Pass</t>
        </is>
      </c>
      <c r="O54" s="5" t="inlineStr"/>
      <c r="P54" s="10" t="n">
        <v>21.5</v>
      </c>
      <c r="Q54" s="11" t="n">
        <v>21511</v>
      </c>
      <c r="R54" s="12" t="n">
        <v>46275</v>
      </c>
      <c r="S54" s="5" t="inlineStr"/>
      <c r="T54" s="12" t="inlineStr"/>
      <c r="U54" s="5" t="inlineStr">
        <is>
          <t>Evaluated structured AI output against the gold expectation; suggestions were not saved and the synthetic profile was reset.</t>
        </is>
      </c>
    </row>
    <row r="55">
      <c r="A55" s="4" t="inlineStr">
        <is>
          <t>AI-AR-I04</t>
        </is>
      </c>
      <c r="B55" s="5" t="inlineStr">
        <is>
          <t>AI Profile Suggestions</t>
        </is>
      </c>
      <c r="C55" s="5" t="inlineStr">
        <is>
          <t>Abilities with support</t>
        </is>
      </c>
      <c r="D55" s="5" t="inlineStr">
        <is>
          <t>Development Team</t>
        </is>
      </c>
      <c r="E55" s="5" t="inlineStr">
        <is>
          <t>High</t>
        </is>
      </c>
      <c r="F55" s="5" t="inlineStr">
        <is>
          <t>Arabic</t>
        </is>
      </c>
      <c r="G55" s="5" t="inlineStr">
        <is>
          <t>Imperfect transcript</t>
        </is>
      </c>
      <c r="H55" s="5" t="inlineStr">
        <is>
          <t>Candidate fixture authenticated; local or staging AI service healthy; profile state recorded.</t>
        </is>
      </c>
      <c r="I55" s="5" t="inlineStr">
        <is>
          <t>Candidate explicitly needs support for reading, writing and counting.</t>
        </is>
      </c>
      <c r="J55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5" s="5" t="inlineStr">
        <is>
          <t>All three labelled abilities map to with_support without exclusion.</t>
        </is>
      </c>
      <c r="L55" s="5" t="inlineStr">
        <is>
          <t>All gold expectations passed. HTTP 200; the profile remained unchanged before cleanup=True.</t>
        </is>
      </c>
      <c r="M55" s="5" t="inlineStr">
        <is>
          <t>EV-AI-002</t>
        </is>
      </c>
      <c r="N55" s="5" t="inlineStr">
        <is>
          <t>Pass</t>
        </is>
      </c>
      <c r="O55" s="5" t="inlineStr"/>
      <c r="P55" s="10" t="n">
        <v>10.5</v>
      </c>
      <c r="Q55" s="11" t="n">
        <v>10545</v>
      </c>
      <c r="R55" s="12" t="n">
        <v>46275</v>
      </c>
      <c r="S55" s="5" t="inlineStr"/>
      <c r="T55" s="12" t="inlineStr"/>
      <c r="U55" s="5" t="inlineStr">
        <is>
          <t>Evaluated structured AI output against the gold expectation; suggestions were not saved and the synthetic profile was reset.</t>
        </is>
      </c>
    </row>
    <row r="56">
      <c r="A56" s="4" t="inlineStr">
        <is>
          <t>AI-AR-I05</t>
        </is>
      </c>
      <c r="B56" s="5" t="inlineStr">
        <is>
          <t>AI Profile Suggestions</t>
        </is>
      </c>
      <c r="C56" s="5" t="inlineStr">
        <is>
          <t>Mixed and not-yet abilities</t>
        </is>
      </c>
      <c r="D56" s="5" t="inlineStr">
        <is>
          <t>Development Team</t>
        </is>
      </c>
      <c r="E56" s="5" t="inlineStr">
        <is>
          <t>High</t>
        </is>
      </c>
      <c r="F56" s="5" t="inlineStr">
        <is>
          <t>Arabic</t>
        </is>
      </c>
      <c r="G56" s="5" t="inlineStr">
        <is>
          <t>Imperfect transcript</t>
        </is>
      </c>
      <c r="H56" s="5" t="inlineStr">
        <is>
          <t>Candidate fixture authenticated; local or staging AI service healthy; profile state recorded.</t>
        </is>
      </c>
      <c r="I56" s="5" t="inlineStr">
        <is>
          <t>Reading independently, writing with support and counting not yet.</t>
        </is>
      </c>
      <c r="J56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6" s="5" t="inlineStr">
        <is>
          <t>Each ability maps to its own correct controlled value.</t>
        </is>
      </c>
      <c r="L56" s="5" t="inlineStr">
        <is>
          <t>All gold expectations passed. HTTP 200; the profile remained unchanged before cleanup=True.</t>
        </is>
      </c>
      <c r="M56" s="5" t="inlineStr">
        <is>
          <t>EV-AI-002</t>
        </is>
      </c>
      <c r="N56" s="5" t="inlineStr">
        <is>
          <t>Pass</t>
        </is>
      </c>
      <c r="O56" s="5" t="inlineStr"/>
      <c r="P56" s="10" t="n">
        <v>6.9</v>
      </c>
      <c r="Q56" s="11" t="n">
        <v>6897</v>
      </c>
      <c r="R56" s="12" t="n">
        <v>46275</v>
      </c>
      <c r="S56" s="5" t="inlineStr"/>
      <c r="T56" s="12" t="inlineStr"/>
      <c r="U56" s="5" t="inlineStr">
        <is>
          <t>Evaluated structured AI output against the gold expectation; suggestions were not saved and the synthetic profile was reset.</t>
        </is>
      </c>
    </row>
    <row r="57">
      <c r="A57" s="4" t="inlineStr">
        <is>
          <t>AI-AR-I06</t>
        </is>
      </c>
      <c r="B57" s="5" t="inlineStr">
        <is>
          <t>AI Profile Suggestions</t>
        </is>
      </c>
      <c r="C57" s="5" t="inlineStr">
        <is>
          <t>Work only</t>
        </is>
      </c>
      <c r="D57" s="5" t="inlineStr">
        <is>
          <t>Development Team</t>
        </is>
      </c>
      <c r="E57" s="5" t="inlineStr">
        <is>
          <t>High</t>
        </is>
      </c>
      <c r="F57" s="5" t="inlineStr">
        <is>
          <t>Arabic</t>
        </is>
      </c>
      <c r="G57" s="5" t="inlineStr">
        <is>
          <t>Imperfect transcript</t>
        </is>
      </c>
      <c r="H57" s="5" t="inlineStr">
        <is>
          <t>Candidate fixture authenticated; local or staging AI service healthy; profile state recorded.</t>
        </is>
      </c>
      <c r="I57" s="5" t="inlineStr">
        <is>
          <t>Candidate explicitly wants paid work and names a controlled position.</t>
        </is>
      </c>
      <c r="J57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7" s="5" t="inlineStr">
        <is>
          <t>Opportunity preference maps to work and the controlled position is suggested.</t>
        </is>
      </c>
      <c r="L57" s="5" t="inlineStr">
        <is>
          <t>All gold expectations passed. HTTP 200; the profile remained unchanged before cleanup=True.</t>
        </is>
      </c>
      <c r="M57" s="5" t="inlineStr">
        <is>
          <t>EV-AI-002</t>
        </is>
      </c>
      <c r="N57" s="5" t="inlineStr">
        <is>
          <t>Pass</t>
        </is>
      </c>
      <c r="O57" s="5" t="inlineStr"/>
      <c r="P57" s="10" t="n">
        <v>7.6</v>
      </c>
      <c r="Q57" s="11" t="n">
        <v>7556</v>
      </c>
      <c r="R57" s="12" t="n">
        <v>46275</v>
      </c>
      <c r="S57" s="5" t="inlineStr"/>
      <c r="T57" s="12" t="inlineStr"/>
      <c r="U57" s="5" t="inlineStr">
        <is>
          <t>Evaluated structured AI output against the gold expectation; suggestions were not saved and the synthetic profile was reset.</t>
        </is>
      </c>
    </row>
    <row r="58">
      <c r="A58" s="4" t="inlineStr">
        <is>
          <t>AI-AR-I07</t>
        </is>
      </c>
      <c r="B58" s="5" t="inlineStr">
        <is>
          <t>AI Profile Suggestions</t>
        </is>
      </c>
      <c r="C58" s="5" t="inlineStr">
        <is>
          <t>Training only</t>
        </is>
      </c>
      <c r="D58" s="5" t="inlineStr">
        <is>
          <t>Development Team</t>
        </is>
      </c>
      <c r="E58" s="5" t="inlineStr">
        <is>
          <t>High</t>
        </is>
      </c>
      <c r="F58" s="5" t="inlineStr">
        <is>
          <t>Arabic</t>
        </is>
      </c>
      <c r="G58" s="5" t="inlineStr">
        <is>
          <t>Imperfect transcript</t>
        </is>
      </c>
      <c r="H58" s="5" t="inlineStr">
        <is>
          <t>Candidate fixture authenticated; local or staging AI service healthy; profile state recorded.</t>
        </is>
      </c>
      <c r="I58" s="5" t="inlineStr">
        <is>
          <t>Candidate explicitly wants a hospitality training program.</t>
        </is>
      </c>
      <c r="J58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8" s="5" t="inlineStr">
        <is>
          <t>Opportunity preference maps to training without inventing job experience.</t>
        </is>
      </c>
      <c r="L58" s="5" t="inlineStr">
        <is>
          <t>All gold expectations passed. HTTP 200; the profile remained unchanged before cleanup=True.</t>
        </is>
      </c>
      <c r="M58" s="5" t="inlineStr">
        <is>
          <t>EV-AI-002</t>
        </is>
      </c>
      <c r="N58" s="5" t="inlineStr">
        <is>
          <t>Pass</t>
        </is>
      </c>
      <c r="O58" s="5" t="inlineStr"/>
      <c r="P58" s="10" t="n">
        <v>7.3</v>
      </c>
      <c r="Q58" s="11" t="n">
        <v>7302</v>
      </c>
      <c r="R58" s="12" t="n">
        <v>46275</v>
      </c>
      <c r="S58" s="5" t="inlineStr"/>
      <c r="T58" s="12" t="inlineStr"/>
      <c r="U58" s="5" t="inlineStr">
        <is>
          <t>Evaluated structured AI output against the gold expectation; suggestions were not saved and the synthetic profile was reset.</t>
        </is>
      </c>
    </row>
    <row r="59">
      <c r="A59" s="4" t="inlineStr">
        <is>
          <t>AI-AR-I08</t>
        </is>
      </c>
      <c r="B59" s="5" t="inlineStr">
        <is>
          <t>AI Profile Suggestions</t>
        </is>
      </c>
      <c r="C59" s="5" t="inlineStr">
        <is>
          <t>Work and training</t>
        </is>
      </c>
      <c r="D59" s="5" t="inlineStr">
        <is>
          <t>Development Team</t>
        </is>
      </c>
      <c r="E59" s="5" t="inlineStr">
        <is>
          <t>High</t>
        </is>
      </c>
      <c r="F59" s="5" t="inlineStr">
        <is>
          <t>Arabic</t>
        </is>
      </c>
      <c r="G59" s="5" t="inlineStr">
        <is>
          <t>Imperfect transcript</t>
        </is>
      </c>
      <c r="H59" s="5" t="inlineStr">
        <is>
          <t>Candidate fixture authenticated; local or staging AI service healthy; profile state recorded.</t>
        </is>
      </c>
      <c r="I59" s="5" t="inlineStr">
        <is>
          <t>Candidate explicitly wants both work and hospitality training.</t>
        </is>
      </c>
      <c r="J59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59" s="5" t="inlineStr">
        <is>
          <t>Opportunity preference maps to both.</t>
        </is>
      </c>
      <c r="L59" s="5" t="inlineStr">
        <is>
          <t>All gold expectations passed. HTTP 200; the profile remained unchanged before cleanup=True.</t>
        </is>
      </c>
      <c r="M59" s="5" t="inlineStr">
        <is>
          <t>EV-AI-002</t>
        </is>
      </c>
      <c r="N59" s="5" t="inlineStr">
        <is>
          <t>Pass</t>
        </is>
      </c>
      <c r="O59" s="5" t="inlineStr"/>
      <c r="P59" s="10" t="n">
        <v>29.4</v>
      </c>
      <c r="Q59" s="11" t="n">
        <v>29405</v>
      </c>
      <c r="R59" s="12" t="n">
        <v>46275</v>
      </c>
      <c r="S59" s="5" t="inlineStr"/>
      <c r="T59" s="12" t="inlineStr"/>
      <c r="U59" s="5" t="inlineStr">
        <is>
          <t>Evaluated structured AI output against the gold expectation; suggestions were not saved and the synthetic profile was reset.</t>
        </is>
      </c>
    </row>
    <row r="60">
      <c r="A60" s="4" t="inlineStr">
        <is>
          <t>AI-AR-I09</t>
        </is>
      </c>
      <c r="B60" s="5" t="inlineStr">
        <is>
          <t>AI Profile Suggestions</t>
        </is>
      </c>
      <c r="C60" s="5" t="inlineStr">
        <is>
          <t>Explicit disability and skills</t>
        </is>
      </c>
      <c r="D60" s="5" t="inlineStr">
        <is>
          <t>Development Team</t>
        </is>
      </c>
      <c r="E60" s="5" t="inlineStr">
        <is>
          <t>Critical</t>
        </is>
      </c>
      <c r="F60" s="5" t="inlineStr">
        <is>
          <t>Arabic</t>
        </is>
      </c>
      <c r="G60" s="5" t="inlineStr">
        <is>
          <t>Imperfect transcript</t>
        </is>
      </c>
      <c r="H60" s="5" t="inlineStr">
        <is>
          <t>Candidate fixture authenticated; local or staging AI service healthy; profile state recorded.</t>
        </is>
      </c>
      <c r="I60" s="5" t="inlineStr">
        <is>
          <t>Candidate explicitly names a catalogue disability and gives evidence for controlled tasks.</t>
        </is>
      </c>
      <c r="J60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60" s="5" t="inlineStr">
        <is>
          <t>Only the explicitly named disability and evidence-backed catalogue tasks are suggested.</t>
        </is>
      </c>
      <c r="L60" s="5" t="inlineStr">
        <is>
          <t>All gold expectations passed. HTTP 200; the profile remained unchanged before cleanup=True.</t>
        </is>
      </c>
      <c r="M60" s="5" t="inlineStr">
        <is>
          <t>EV-AI-002</t>
        </is>
      </c>
      <c r="N60" s="5" t="inlineStr">
        <is>
          <t>Pass</t>
        </is>
      </c>
      <c r="O60" s="5" t="inlineStr"/>
      <c r="P60" s="10" t="n">
        <v>7.5</v>
      </c>
      <c r="Q60" s="11" t="n">
        <v>7525</v>
      </c>
      <c r="R60" s="12" t="n">
        <v>46275</v>
      </c>
      <c r="S60" s="5" t="inlineStr"/>
      <c r="T60" s="12" t="inlineStr"/>
      <c r="U60" s="5" t="inlineStr">
        <is>
          <t>Evaluated structured AI output against the gold expectation; suggestions were not saved and the synthetic profile was reset.</t>
        </is>
      </c>
    </row>
    <row r="61">
      <c r="A61" s="4" t="inlineStr">
        <is>
          <t>AI-AR-I10</t>
        </is>
      </c>
      <c r="B61" s="5" t="inlineStr">
        <is>
          <t>AI Profile Suggestions</t>
        </is>
      </c>
      <c r="C61" s="5" t="inlineStr">
        <is>
          <t>Ambiguous safety boundary</t>
        </is>
      </c>
      <c r="D61" s="5" t="inlineStr">
        <is>
          <t>Development Team</t>
        </is>
      </c>
      <c r="E61" s="5" t="inlineStr">
        <is>
          <t>Critical</t>
        </is>
      </c>
      <c r="F61" s="5" t="inlineStr">
        <is>
          <t>Arabic</t>
        </is>
      </c>
      <c r="G61" s="5" t="inlineStr">
        <is>
          <t>Imperfect transcript</t>
        </is>
      </c>
      <c r="H61" s="5" t="inlineStr">
        <is>
          <t>Candidate fixture authenticated; local or staging AI service healthy; profile state recorded.</t>
        </is>
      </c>
      <c r="I61" s="5" t="inlineStr">
        <is>
          <t>Narrative is vague about health, abilities and job experience.</t>
        </is>
      </c>
      <c r="J61" s="5" t="inlineStr">
        <is>
          <t>Reset/record profile state; enter the prepared narrative; select the declared input language; provide consent; create suggestions; compare every item with the gold expectation; confirm selected valid items where required.</t>
        </is>
      </c>
      <c r="K61" s="5" t="inlineStr">
        <is>
          <t>No disability diagnosis, unsupported ability or invented catalogue task is suggested; ambiguity remains unmapped.</t>
        </is>
      </c>
      <c r="L61" s="5" t="inlineStr">
        <is>
          <t>All gold expectations passed. HTTP 200; the profile remained unchanged before cleanup=True.</t>
        </is>
      </c>
      <c r="M61" s="5" t="inlineStr">
        <is>
          <t>EV-AI-002</t>
        </is>
      </c>
      <c r="N61" s="5" t="inlineStr">
        <is>
          <t>Pass</t>
        </is>
      </c>
      <c r="O61" s="5" t="inlineStr"/>
      <c r="P61" s="10" t="n">
        <v>6.4</v>
      </c>
      <c r="Q61" s="11" t="n">
        <v>6413</v>
      </c>
      <c r="R61" s="12" t="n">
        <v>46275</v>
      </c>
      <c r="S61" s="5" t="inlineStr"/>
      <c r="T61" s="12" t="inlineStr"/>
      <c r="U61" s="5" t="inlineStr">
        <is>
          <t>Evaluated structured AI output against the gold expectation; suggestions were not saved and the synthetic profile was reset.</t>
        </is>
      </c>
    </row>
    <row r="62">
      <c r="A62" s="4" t="inlineStr">
        <is>
          <t>TR-EN-Q01</t>
        </is>
      </c>
      <c r="B62" s="5" t="inlineStr">
        <is>
          <t>Voice Transcription</t>
        </is>
      </c>
      <c r="C62" s="5" t="inlineStr">
        <is>
          <t>Identity and contact</t>
        </is>
      </c>
      <c r="D62" s="5" t="inlineStr">
        <is>
          <t>Development Team</t>
        </is>
      </c>
      <c r="E62" s="5" t="inlineStr">
        <is>
          <t>High</t>
        </is>
      </c>
      <c r="F62" s="5" t="inlineStr">
        <is>
          <t>English</t>
        </is>
      </c>
      <c r="G62" s="5" t="inlineStr">
        <is>
          <t>Quiet</t>
        </is>
      </c>
      <c r="H62" s="5" t="inlineStr">
        <is>
          <t>Microphone permission granted; correct input language selected; fictional test data only.</t>
        </is>
      </c>
      <c r="I62" s="5" t="inlineStr">
        <is>
          <t>Speak a fictional name, Beirut location and an eight-digit phone number.</t>
        </is>
      </c>
      <c r="J62" s="5" t="inlineStr">
        <is>
          <t>Start recording; speak the prepared sentence once; stop recording; wait for transcription; compare expected and actual text; verify editing remains possible; record latency and evidence.</t>
        </is>
      </c>
      <c r="K62" s="5" t="inlineStr">
        <is>
          <t>Transcript preserves the name, location and all digits correctly.</t>
        </is>
      </c>
      <c r="L62" s="5" t="inlineStr"/>
      <c r="M62" s="5" t="inlineStr"/>
      <c r="N62" s="5" t="inlineStr"/>
      <c r="O62" s="5" t="inlineStr"/>
      <c r="P62" s="10" t="inlineStr"/>
      <c r="Q62" s="11" t="inlineStr"/>
      <c r="R62" s="12" t="inlineStr"/>
      <c r="S62" s="5" t="inlineStr"/>
      <c r="T62" s="12" t="inlineStr"/>
      <c r="U62" s="5" t="inlineStr"/>
    </row>
    <row r="63">
      <c r="A63" s="4" t="inlineStr">
        <is>
          <t>TR-EN-Q02</t>
        </is>
      </c>
      <c r="B63" s="5" t="inlineStr">
        <is>
          <t>Voice Transcription</t>
        </is>
      </c>
      <c r="C63" s="5" t="inlineStr">
        <is>
          <t>Education</t>
        </is>
      </c>
      <c r="D63" s="5" t="inlineStr">
        <is>
          <t>Development Team</t>
        </is>
      </c>
      <c r="E63" s="5" t="inlineStr">
        <is>
          <t>High</t>
        </is>
      </c>
      <c r="F63" s="5" t="inlineStr">
        <is>
          <t>English</t>
        </is>
      </c>
      <c r="G63" s="5" t="inlineStr">
        <is>
          <t>Quiet</t>
        </is>
      </c>
      <c r="H63" s="5" t="inlineStr">
        <is>
          <t>Microphone permission granted; correct input language selected; fictional test data only.</t>
        </is>
      </c>
      <c r="I63" s="5" t="inlineStr">
        <is>
          <t>State a controlled education level and one work goal.</t>
        </is>
      </c>
      <c r="J63" s="5" t="inlineStr">
        <is>
          <t>Start recording; speak the prepared sentence once; stop recording; wait for transcription; compare expected and actual text; verify editing remains possible; record latency and evidence.</t>
        </is>
      </c>
      <c r="K63" s="5" t="inlineStr">
        <is>
          <t>Education and goal words are transcribed without changing their meaning.</t>
        </is>
      </c>
      <c r="L63" s="5" t="inlineStr"/>
      <c r="M63" s="5" t="inlineStr"/>
      <c r="N63" s="5" t="inlineStr"/>
      <c r="O63" s="5" t="inlineStr"/>
      <c r="P63" s="10" t="inlineStr"/>
      <c r="Q63" s="11" t="inlineStr"/>
      <c r="R63" s="12" t="inlineStr"/>
      <c r="S63" s="5" t="inlineStr"/>
      <c r="T63" s="12" t="inlineStr"/>
      <c r="U63" s="5" t="inlineStr"/>
    </row>
    <row r="64">
      <c r="A64" s="4" t="inlineStr">
        <is>
          <t>TR-EN-Q03</t>
        </is>
      </c>
      <c r="B64" s="5" t="inlineStr">
        <is>
          <t>Voice Transcription</t>
        </is>
      </c>
      <c r="C64" s="5" t="inlineStr">
        <is>
          <t>Foundation abilities</t>
        </is>
      </c>
      <c r="D64" s="5" t="inlineStr">
        <is>
          <t>Development Team</t>
        </is>
      </c>
      <c r="E64" s="5" t="inlineStr">
        <is>
          <t>High</t>
        </is>
      </c>
      <c r="F64" s="5" t="inlineStr">
        <is>
          <t>English</t>
        </is>
      </c>
      <c r="G64" s="5" t="inlineStr">
        <is>
          <t>Quiet</t>
        </is>
      </c>
      <c r="H64" s="5" t="inlineStr">
        <is>
          <t>Microphone permission granted; correct input language selected; fictional test data only.</t>
        </is>
      </c>
      <c r="I64" s="5" t="inlineStr">
        <is>
          <t>State reading, writing and counting ability in one natural sentence.</t>
        </is>
      </c>
      <c r="J64" s="5" t="inlineStr">
        <is>
          <t>Start recording; speak the prepared sentence once; stop recording; wait for transcription; compare expected and actual text; verify editing remains possible; record latency and evidence.</t>
        </is>
      </c>
      <c r="K64" s="5" t="inlineStr">
        <is>
          <t>All three ability concepts appear correctly in the editable transcript.</t>
        </is>
      </c>
      <c r="L64" s="5" t="inlineStr"/>
      <c r="M64" s="5" t="inlineStr"/>
      <c r="N64" s="5" t="inlineStr"/>
      <c r="O64" s="5" t="inlineStr"/>
      <c r="P64" s="10" t="inlineStr"/>
      <c r="Q64" s="11" t="inlineStr"/>
      <c r="R64" s="12" t="inlineStr"/>
      <c r="S64" s="5" t="inlineStr"/>
      <c r="T64" s="12" t="inlineStr"/>
      <c r="U64" s="5" t="inlineStr"/>
    </row>
    <row r="65">
      <c r="A65" s="4" t="inlineStr">
        <is>
          <t>TR-EN-Q04</t>
        </is>
      </c>
      <c r="B65" s="5" t="inlineStr">
        <is>
          <t>Voice Transcription</t>
        </is>
      </c>
      <c r="C65" s="5" t="inlineStr">
        <is>
          <t>Opportunity preference</t>
        </is>
      </c>
      <c r="D65" s="5" t="inlineStr">
        <is>
          <t>Development Team</t>
        </is>
      </c>
      <c r="E65" s="5" t="inlineStr">
        <is>
          <t>High</t>
        </is>
      </c>
      <c r="F65" s="5" t="inlineStr">
        <is>
          <t>English</t>
        </is>
      </c>
      <c r="G65" s="5" t="inlineStr">
        <is>
          <t>Quiet</t>
        </is>
      </c>
      <c r="H65" s="5" t="inlineStr">
        <is>
          <t>Microphone permission granted; correct input language selected; fictional test data only.</t>
        </is>
      </c>
      <c r="I65" s="5" t="inlineStr">
        <is>
          <t>State work, training or both and name Cashier as the preferred position.</t>
        </is>
      </c>
      <c r="J65" s="5" t="inlineStr">
        <is>
          <t>Start recording; speak the prepared sentence once; stop recording; wait for transcription; compare expected and actual text; verify editing remains possible; record latency and evidence.</t>
        </is>
      </c>
      <c r="K65" s="5" t="inlineStr">
        <is>
          <t>Opportunity type and Cashier interest are preserved.</t>
        </is>
      </c>
      <c r="L65" s="5" t="inlineStr"/>
      <c r="M65" s="5" t="inlineStr"/>
      <c r="N65" s="5" t="inlineStr"/>
      <c r="O65" s="5" t="inlineStr"/>
      <c r="P65" s="10" t="inlineStr"/>
      <c r="Q65" s="11" t="inlineStr"/>
      <c r="R65" s="12" t="inlineStr"/>
      <c r="S65" s="5" t="inlineStr"/>
      <c r="T65" s="12" t="inlineStr"/>
      <c r="U65" s="5" t="inlineStr"/>
    </row>
    <row r="66">
      <c r="A66" s="4" t="inlineStr">
        <is>
          <t>TR-EN-Q05</t>
        </is>
      </c>
      <c r="B66" s="5" t="inlineStr">
        <is>
          <t>Voice Transcription</t>
        </is>
      </c>
      <c r="C66" s="5" t="inlineStr">
        <is>
          <t>Disability and task evidence</t>
        </is>
      </c>
      <c r="D66" s="5" t="inlineStr">
        <is>
          <t>Development Team</t>
        </is>
      </c>
      <c r="E66" s="5" t="inlineStr">
        <is>
          <t>High</t>
        </is>
      </c>
      <c r="F66" s="5" t="inlineStr">
        <is>
          <t>English</t>
        </is>
      </c>
      <c r="G66" s="5" t="inlineStr">
        <is>
          <t>Quiet</t>
        </is>
      </c>
      <c r="H66" s="5" t="inlineStr">
        <is>
          <t>Microphone permission granted; correct input language selected; fictional test data only.</t>
        </is>
      </c>
      <c r="I66" s="5" t="inlineStr">
        <is>
          <t>Explicitly name Hand and three Cashier task skills.</t>
        </is>
      </c>
      <c r="J66" s="5" t="inlineStr">
        <is>
          <t>Start recording; speak the prepared sentence once; stop recording; wait for transcription; compare expected and actual text; verify editing remains possible; record latency and evidence.</t>
        </is>
      </c>
      <c r="K66" s="5" t="inlineStr">
        <is>
          <t>The explicit term and important task phrases remain understandable and editable.</t>
        </is>
      </c>
      <c r="L66" s="5" t="inlineStr"/>
      <c r="M66" s="5" t="inlineStr"/>
      <c r="N66" s="5" t="inlineStr"/>
      <c r="O66" s="5" t="inlineStr"/>
      <c r="P66" s="10" t="inlineStr"/>
      <c r="Q66" s="11" t="inlineStr"/>
      <c r="R66" s="12" t="inlineStr"/>
      <c r="S66" s="5" t="inlineStr"/>
      <c r="T66" s="12" t="inlineStr"/>
      <c r="U66" s="5" t="inlineStr"/>
    </row>
    <row r="67">
      <c r="A67" s="4" t="inlineStr">
        <is>
          <t>TR-EN-N01</t>
        </is>
      </c>
      <c r="B67" s="5" t="inlineStr">
        <is>
          <t>Voice Transcription</t>
        </is>
      </c>
      <c r="C67" s="5" t="inlineStr">
        <is>
          <t>Identity and contact</t>
        </is>
      </c>
      <c r="D67" s="5" t="inlineStr">
        <is>
          <t>Development Team</t>
        </is>
      </c>
      <c r="E67" s="5" t="inlineStr">
        <is>
          <t>High</t>
        </is>
      </c>
      <c r="F67" s="5" t="inlineStr">
        <is>
          <t>English</t>
        </is>
      </c>
      <c r="G67" s="5" t="inlineStr">
        <is>
          <t>Moderate noise / imperfect pronunciation</t>
        </is>
      </c>
      <c r="H67" s="5" t="inlineStr">
        <is>
          <t>Microphone permission granted; correct input language selected; fictional test data only.</t>
        </is>
      </c>
      <c r="I67" s="5" t="inlineStr">
        <is>
          <t>Speak a fictional name, Beirut location and an eight-digit phone number.</t>
        </is>
      </c>
      <c r="J67" s="5" t="inlineStr">
        <is>
          <t>Start recording; speak the prepared sentence once; stop recording; wait for transcription; compare expected and actual text; verify editing remains possible; record latency and evidence.</t>
        </is>
      </c>
      <c r="K67" s="5" t="inlineStr">
        <is>
          <t>Transcript preserves the name, location and all digits correctly.</t>
        </is>
      </c>
      <c r="L67" s="5" t="inlineStr"/>
      <c r="M67" s="5" t="inlineStr"/>
      <c r="N67" s="5" t="inlineStr"/>
      <c r="O67" s="5" t="inlineStr"/>
      <c r="P67" s="10" t="inlineStr"/>
      <c r="Q67" s="11" t="inlineStr"/>
      <c r="R67" s="12" t="inlineStr"/>
      <c r="S67" s="5" t="inlineStr"/>
      <c r="T67" s="12" t="inlineStr"/>
      <c r="U67" s="5" t="inlineStr"/>
    </row>
    <row r="68">
      <c r="A68" s="4" t="inlineStr">
        <is>
          <t>TR-EN-N02</t>
        </is>
      </c>
      <c r="B68" s="5" t="inlineStr">
        <is>
          <t>Voice Transcription</t>
        </is>
      </c>
      <c r="C68" s="5" t="inlineStr">
        <is>
          <t>Education</t>
        </is>
      </c>
      <c r="D68" s="5" t="inlineStr">
        <is>
          <t>Development Team</t>
        </is>
      </c>
      <c r="E68" s="5" t="inlineStr">
        <is>
          <t>High</t>
        </is>
      </c>
      <c r="F68" s="5" t="inlineStr">
        <is>
          <t>English</t>
        </is>
      </c>
      <c r="G68" s="5" t="inlineStr">
        <is>
          <t>Moderate noise / imperfect pronunciation</t>
        </is>
      </c>
      <c r="H68" s="5" t="inlineStr">
        <is>
          <t>Microphone permission granted; correct input language selected; fictional test data only.</t>
        </is>
      </c>
      <c r="I68" s="5" t="inlineStr">
        <is>
          <t>State a controlled education level and one work goal.</t>
        </is>
      </c>
      <c r="J68" s="5" t="inlineStr">
        <is>
          <t>Start recording; speak the prepared sentence once; stop recording; wait for transcription; compare expected and actual text; verify editing remains possible; record latency and evidence.</t>
        </is>
      </c>
      <c r="K68" s="5" t="inlineStr">
        <is>
          <t>Education and goal words are transcribed without changing their meaning.</t>
        </is>
      </c>
      <c r="L68" s="5" t="inlineStr"/>
      <c r="M68" s="5" t="inlineStr"/>
      <c r="N68" s="5" t="inlineStr"/>
      <c r="O68" s="5" t="inlineStr"/>
      <c r="P68" s="10" t="inlineStr"/>
      <c r="Q68" s="11" t="inlineStr"/>
      <c r="R68" s="12" t="inlineStr"/>
      <c r="S68" s="5" t="inlineStr"/>
      <c r="T68" s="12" t="inlineStr"/>
      <c r="U68" s="5" t="inlineStr"/>
    </row>
    <row r="69">
      <c r="A69" s="4" t="inlineStr">
        <is>
          <t>TR-EN-N03</t>
        </is>
      </c>
      <c r="B69" s="5" t="inlineStr">
        <is>
          <t>Voice Transcription</t>
        </is>
      </c>
      <c r="C69" s="5" t="inlineStr">
        <is>
          <t>Foundation abilities</t>
        </is>
      </c>
      <c r="D69" s="5" t="inlineStr">
        <is>
          <t>Development Team</t>
        </is>
      </c>
      <c r="E69" s="5" t="inlineStr">
        <is>
          <t>High</t>
        </is>
      </c>
      <c r="F69" s="5" t="inlineStr">
        <is>
          <t>English</t>
        </is>
      </c>
      <c r="G69" s="5" t="inlineStr">
        <is>
          <t>Moderate noise / imperfect pronunciation</t>
        </is>
      </c>
      <c r="H69" s="5" t="inlineStr">
        <is>
          <t>Microphone permission granted; correct input language selected; fictional test data only.</t>
        </is>
      </c>
      <c r="I69" s="5" t="inlineStr">
        <is>
          <t>State reading, writing and counting ability in one natural sentence.</t>
        </is>
      </c>
      <c r="J69" s="5" t="inlineStr">
        <is>
          <t>Start recording; speak the prepared sentence once; stop recording; wait for transcription; compare expected and actual text; verify editing remains possible; record latency and evidence.</t>
        </is>
      </c>
      <c r="K69" s="5" t="inlineStr">
        <is>
          <t>All three ability concepts appear correctly in the editable transcript.</t>
        </is>
      </c>
      <c r="L69" s="5" t="inlineStr"/>
      <c r="M69" s="5" t="inlineStr"/>
      <c r="N69" s="5" t="inlineStr"/>
      <c r="O69" s="5" t="inlineStr"/>
      <c r="P69" s="10" t="inlineStr"/>
      <c r="Q69" s="11" t="inlineStr"/>
      <c r="R69" s="12" t="inlineStr"/>
      <c r="S69" s="5" t="inlineStr"/>
      <c r="T69" s="12" t="inlineStr"/>
      <c r="U69" s="5" t="inlineStr"/>
    </row>
    <row r="70">
      <c r="A70" s="4" t="inlineStr">
        <is>
          <t>TR-EN-N04</t>
        </is>
      </c>
      <c r="B70" s="5" t="inlineStr">
        <is>
          <t>Voice Transcription</t>
        </is>
      </c>
      <c r="C70" s="5" t="inlineStr">
        <is>
          <t>Opportunity preference</t>
        </is>
      </c>
      <c r="D70" s="5" t="inlineStr">
        <is>
          <t>Development Team</t>
        </is>
      </c>
      <c r="E70" s="5" t="inlineStr">
        <is>
          <t>High</t>
        </is>
      </c>
      <c r="F70" s="5" t="inlineStr">
        <is>
          <t>English</t>
        </is>
      </c>
      <c r="G70" s="5" t="inlineStr">
        <is>
          <t>Moderate noise / imperfect pronunciation</t>
        </is>
      </c>
      <c r="H70" s="5" t="inlineStr">
        <is>
          <t>Microphone permission granted; correct input language selected; fictional test data only.</t>
        </is>
      </c>
      <c r="I70" s="5" t="inlineStr">
        <is>
          <t>State work, training or both and name Cashier as the preferred position.</t>
        </is>
      </c>
      <c r="J70" s="5" t="inlineStr">
        <is>
          <t>Start recording; speak the prepared sentence once; stop recording; wait for transcription; compare expected and actual text; verify editing remains possible; record latency and evidence.</t>
        </is>
      </c>
      <c r="K70" s="5" t="inlineStr">
        <is>
          <t>Opportunity type and Cashier interest are preserved.</t>
        </is>
      </c>
      <c r="L70" s="5" t="inlineStr"/>
      <c r="M70" s="5" t="inlineStr"/>
      <c r="N70" s="5" t="inlineStr"/>
      <c r="O70" s="5" t="inlineStr"/>
      <c r="P70" s="10" t="inlineStr"/>
      <c r="Q70" s="11" t="inlineStr"/>
      <c r="R70" s="12" t="inlineStr"/>
      <c r="S70" s="5" t="inlineStr"/>
      <c r="T70" s="12" t="inlineStr"/>
      <c r="U70" s="5" t="inlineStr"/>
    </row>
    <row r="71">
      <c r="A71" s="4" t="inlineStr">
        <is>
          <t>TR-EN-N05</t>
        </is>
      </c>
      <c r="B71" s="5" t="inlineStr">
        <is>
          <t>Voice Transcription</t>
        </is>
      </c>
      <c r="C71" s="5" t="inlineStr">
        <is>
          <t>Disability and task evidence</t>
        </is>
      </c>
      <c r="D71" s="5" t="inlineStr">
        <is>
          <t>Development Team</t>
        </is>
      </c>
      <c r="E71" s="5" t="inlineStr">
        <is>
          <t>High</t>
        </is>
      </c>
      <c r="F71" s="5" t="inlineStr">
        <is>
          <t>English</t>
        </is>
      </c>
      <c r="G71" s="5" t="inlineStr">
        <is>
          <t>Moderate noise / imperfect pronunciation</t>
        </is>
      </c>
      <c r="H71" s="5" t="inlineStr">
        <is>
          <t>Microphone permission granted; correct input language selected; fictional test data only.</t>
        </is>
      </c>
      <c r="I71" s="5" t="inlineStr">
        <is>
          <t>Explicitly name Hand and three Cashier task skills.</t>
        </is>
      </c>
      <c r="J71" s="5" t="inlineStr">
        <is>
          <t>Start recording; speak the prepared sentence once; stop recording; wait for transcription; compare expected and actual text; verify editing remains possible; record latency and evidence.</t>
        </is>
      </c>
      <c r="K71" s="5" t="inlineStr">
        <is>
          <t>The explicit term and important task phrases remain understandable and editable.</t>
        </is>
      </c>
      <c r="L71" s="5" t="inlineStr"/>
      <c r="M71" s="5" t="inlineStr"/>
      <c r="N71" s="5" t="inlineStr"/>
      <c r="O71" s="5" t="inlineStr"/>
      <c r="P71" s="10" t="inlineStr"/>
      <c r="Q71" s="11" t="inlineStr"/>
      <c r="R71" s="12" t="inlineStr"/>
      <c r="S71" s="5" t="inlineStr"/>
      <c r="T71" s="12" t="inlineStr"/>
      <c r="U71" s="5" t="inlineStr"/>
    </row>
    <row r="72">
      <c r="A72" s="4" t="inlineStr">
        <is>
          <t>TR-FR-Q01</t>
        </is>
      </c>
      <c r="B72" s="5" t="inlineStr">
        <is>
          <t>Voice Transcription</t>
        </is>
      </c>
      <c r="C72" s="5" t="inlineStr">
        <is>
          <t>Identity and contact</t>
        </is>
      </c>
      <c r="D72" s="5" t="inlineStr">
        <is>
          <t>Development Team</t>
        </is>
      </c>
      <c r="E72" s="5" t="inlineStr">
        <is>
          <t>High</t>
        </is>
      </c>
      <c r="F72" s="5" t="inlineStr">
        <is>
          <t>French</t>
        </is>
      </c>
      <c r="G72" s="5" t="inlineStr">
        <is>
          <t>Quiet</t>
        </is>
      </c>
      <c r="H72" s="5" t="inlineStr">
        <is>
          <t>Microphone permission granted; correct input language selected; fictional test data only.</t>
        </is>
      </c>
      <c r="I72" s="5" t="inlineStr">
        <is>
          <t>Speak a fictional name, Beirut location and an eight-digit phone number.</t>
        </is>
      </c>
      <c r="J72" s="5" t="inlineStr">
        <is>
          <t>Start recording; speak the prepared sentence once; stop recording; wait for transcription; compare expected and actual text; verify editing remains possible; record latency and evidence.</t>
        </is>
      </c>
      <c r="K72" s="5" t="inlineStr">
        <is>
          <t>Transcript preserves the name, location and all digits correctly.</t>
        </is>
      </c>
      <c r="L72" s="5" t="inlineStr"/>
      <c r="M72" s="5" t="inlineStr"/>
      <c r="N72" s="5" t="inlineStr"/>
      <c r="O72" s="5" t="inlineStr"/>
      <c r="P72" s="10" t="inlineStr"/>
      <c r="Q72" s="11" t="inlineStr"/>
      <c r="R72" s="12" t="inlineStr"/>
      <c r="S72" s="5" t="inlineStr"/>
      <c r="T72" s="12" t="inlineStr"/>
      <c r="U72" s="5" t="inlineStr"/>
    </row>
    <row r="73">
      <c r="A73" s="4" t="inlineStr">
        <is>
          <t>TR-FR-Q02</t>
        </is>
      </c>
      <c r="B73" s="5" t="inlineStr">
        <is>
          <t>Voice Transcription</t>
        </is>
      </c>
      <c r="C73" s="5" t="inlineStr">
        <is>
          <t>Education</t>
        </is>
      </c>
      <c r="D73" s="5" t="inlineStr">
        <is>
          <t>Development Team</t>
        </is>
      </c>
      <c r="E73" s="5" t="inlineStr">
        <is>
          <t>High</t>
        </is>
      </c>
      <c r="F73" s="5" t="inlineStr">
        <is>
          <t>French</t>
        </is>
      </c>
      <c r="G73" s="5" t="inlineStr">
        <is>
          <t>Quiet</t>
        </is>
      </c>
      <c r="H73" s="5" t="inlineStr">
        <is>
          <t>Microphone permission granted; correct input language selected; fictional test data only.</t>
        </is>
      </c>
      <c r="I73" s="5" t="inlineStr">
        <is>
          <t>State a controlled education level and one work goal.</t>
        </is>
      </c>
      <c r="J73" s="5" t="inlineStr">
        <is>
          <t>Start recording; speak the prepared sentence once; stop recording; wait for transcription; compare expected and actual text; verify editing remains possible; record latency and evidence.</t>
        </is>
      </c>
      <c r="K73" s="5" t="inlineStr">
        <is>
          <t>Education and goal words are transcribed without changing their meaning.</t>
        </is>
      </c>
      <c r="L73" s="5" t="inlineStr"/>
      <c r="M73" s="5" t="inlineStr"/>
      <c r="N73" s="5" t="inlineStr"/>
      <c r="O73" s="5" t="inlineStr"/>
      <c r="P73" s="10" t="inlineStr"/>
      <c r="Q73" s="11" t="inlineStr"/>
      <c r="R73" s="12" t="inlineStr"/>
      <c r="S73" s="5" t="inlineStr"/>
      <c r="T73" s="12" t="inlineStr"/>
      <c r="U73" s="5" t="inlineStr"/>
    </row>
    <row r="74">
      <c r="A74" s="4" t="inlineStr">
        <is>
          <t>TR-FR-Q03</t>
        </is>
      </c>
      <c r="B74" s="5" t="inlineStr">
        <is>
          <t>Voice Transcription</t>
        </is>
      </c>
      <c r="C74" s="5" t="inlineStr">
        <is>
          <t>Foundation abilities</t>
        </is>
      </c>
      <c r="D74" s="5" t="inlineStr">
        <is>
          <t>Development Team</t>
        </is>
      </c>
      <c r="E74" s="5" t="inlineStr">
        <is>
          <t>High</t>
        </is>
      </c>
      <c r="F74" s="5" t="inlineStr">
        <is>
          <t>French</t>
        </is>
      </c>
      <c r="G74" s="5" t="inlineStr">
        <is>
          <t>Quiet</t>
        </is>
      </c>
      <c r="H74" s="5" t="inlineStr">
        <is>
          <t>Microphone permission granted; correct input language selected; fictional test data only.</t>
        </is>
      </c>
      <c r="I74" s="5" t="inlineStr">
        <is>
          <t>State reading, writing and counting ability in one natural sentence.</t>
        </is>
      </c>
      <c r="J74" s="5" t="inlineStr">
        <is>
          <t>Start recording; speak the prepared sentence once; stop recording; wait for transcription; compare expected and actual text; verify editing remains possible; record latency and evidence.</t>
        </is>
      </c>
      <c r="K74" s="5" t="inlineStr">
        <is>
          <t>All three ability concepts appear correctly in the editable transcript.</t>
        </is>
      </c>
      <c r="L74" s="5" t="inlineStr"/>
      <c r="M74" s="5" t="inlineStr"/>
      <c r="N74" s="5" t="inlineStr"/>
      <c r="O74" s="5" t="inlineStr"/>
      <c r="P74" s="10" t="inlineStr"/>
      <c r="Q74" s="11" t="inlineStr"/>
      <c r="R74" s="12" t="inlineStr"/>
      <c r="S74" s="5" t="inlineStr"/>
      <c r="T74" s="12" t="inlineStr"/>
      <c r="U74" s="5" t="inlineStr"/>
    </row>
    <row r="75">
      <c r="A75" s="4" t="inlineStr">
        <is>
          <t>TR-FR-Q04</t>
        </is>
      </c>
      <c r="B75" s="5" t="inlineStr">
        <is>
          <t>Voice Transcription</t>
        </is>
      </c>
      <c r="C75" s="5" t="inlineStr">
        <is>
          <t>Opportunity preference</t>
        </is>
      </c>
      <c r="D75" s="5" t="inlineStr">
        <is>
          <t>Development Team</t>
        </is>
      </c>
      <c r="E75" s="5" t="inlineStr">
        <is>
          <t>High</t>
        </is>
      </c>
      <c r="F75" s="5" t="inlineStr">
        <is>
          <t>French</t>
        </is>
      </c>
      <c r="G75" s="5" t="inlineStr">
        <is>
          <t>Quiet</t>
        </is>
      </c>
      <c r="H75" s="5" t="inlineStr">
        <is>
          <t>Microphone permission granted; correct input language selected; fictional test data only.</t>
        </is>
      </c>
      <c r="I75" s="5" t="inlineStr">
        <is>
          <t>State work, training or both and name Cashier as the preferred position.</t>
        </is>
      </c>
      <c r="J75" s="5" t="inlineStr">
        <is>
          <t>Start recording; speak the prepared sentence once; stop recording; wait for transcription; compare expected and actual text; verify editing remains possible; record latency and evidence.</t>
        </is>
      </c>
      <c r="K75" s="5" t="inlineStr">
        <is>
          <t>Opportunity type and Cashier interest are preserved.</t>
        </is>
      </c>
      <c r="L75" s="5" t="inlineStr"/>
      <c r="M75" s="5" t="inlineStr"/>
      <c r="N75" s="5" t="inlineStr"/>
      <c r="O75" s="5" t="inlineStr"/>
      <c r="P75" s="10" t="inlineStr"/>
      <c r="Q75" s="11" t="inlineStr"/>
      <c r="R75" s="12" t="inlineStr"/>
      <c r="S75" s="5" t="inlineStr"/>
      <c r="T75" s="12" t="inlineStr"/>
      <c r="U75" s="5" t="inlineStr"/>
    </row>
    <row r="76">
      <c r="A76" s="4" t="inlineStr">
        <is>
          <t>TR-FR-Q05</t>
        </is>
      </c>
      <c r="B76" s="5" t="inlineStr">
        <is>
          <t>Voice Transcription</t>
        </is>
      </c>
      <c r="C76" s="5" t="inlineStr">
        <is>
          <t>Disability and task evidence</t>
        </is>
      </c>
      <c r="D76" s="5" t="inlineStr">
        <is>
          <t>Development Team</t>
        </is>
      </c>
      <c r="E76" s="5" t="inlineStr">
        <is>
          <t>High</t>
        </is>
      </c>
      <c r="F76" s="5" t="inlineStr">
        <is>
          <t>French</t>
        </is>
      </c>
      <c r="G76" s="5" t="inlineStr">
        <is>
          <t>Quiet</t>
        </is>
      </c>
      <c r="H76" s="5" t="inlineStr">
        <is>
          <t>Microphone permission granted; correct input language selected; fictional test data only.</t>
        </is>
      </c>
      <c r="I76" s="5" t="inlineStr">
        <is>
          <t>Explicitly name Hand and three Cashier task skills.</t>
        </is>
      </c>
      <c r="J76" s="5" t="inlineStr">
        <is>
          <t>Start recording; speak the prepared sentence once; stop recording; wait for transcription; compare expected and actual text; verify editing remains possible; record latency and evidence.</t>
        </is>
      </c>
      <c r="K76" s="5" t="inlineStr">
        <is>
          <t>The explicit term and important task phrases remain understandable and editable.</t>
        </is>
      </c>
      <c r="L76" s="5" t="inlineStr"/>
      <c r="M76" s="5" t="inlineStr"/>
      <c r="N76" s="5" t="inlineStr"/>
      <c r="O76" s="5" t="inlineStr"/>
      <c r="P76" s="10" t="inlineStr"/>
      <c r="Q76" s="11" t="inlineStr"/>
      <c r="R76" s="12" t="inlineStr"/>
      <c r="S76" s="5" t="inlineStr"/>
      <c r="T76" s="12" t="inlineStr"/>
      <c r="U76" s="5" t="inlineStr"/>
    </row>
    <row r="77">
      <c r="A77" s="4" t="inlineStr">
        <is>
          <t>TR-FR-N01</t>
        </is>
      </c>
      <c r="B77" s="5" t="inlineStr">
        <is>
          <t>Voice Transcription</t>
        </is>
      </c>
      <c r="C77" s="5" t="inlineStr">
        <is>
          <t>Identity and contact</t>
        </is>
      </c>
      <c r="D77" s="5" t="inlineStr">
        <is>
          <t>Development Team</t>
        </is>
      </c>
      <c r="E77" s="5" t="inlineStr">
        <is>
          <t>High</t>
        </is>
      </c>
      <c r="F77" s="5" t="inlineStr">
        <is>
          <t>French</t>
        </is>
      </c>
      <c r="G77" s="5" t="inlineStr">
        <is>
          <t>Moderate noise / imperfect pronunciation</t>
        </is>
      </c>
      <c r="H77" s="5" t="inlineStr">
        <is>
          <t>Microphone permission granted; correct input language selected; fictional test data only.</t>
        </is>
      </c>
      <c r="I77" s="5" t="inlineStr">
        <is>
          <t>Speak a fictional name, Beirut location and an eight-digit phone number.</t>
        </is>
      </c>
      <c r="J77" s="5" t="inlineStr">
        <is>
          <t>Start recording; speak the prepared sentence once; stop recording; wait for transcription; compare expected and actual text; verify editing remains possible; record latency and evidence.</t>
        </is>
      </c>
      <c r="K77" s="5" t="inlineStr">
        <is>
          <t>Transcript preserves the name, location and all digits correctly.</t>
        </is>
      </c>
      <c r="L77" s="5" t="inlineStr"/>
      <c r="M77" s="5" t="inlineStr"/>
      <c r="N77" s="5" t="inlineStr"/>
      <c r="O77" s="5" t="inlineStr"/>
      <c r="P77" s="10" t="inlineStr"/>
      <c r="Q77" s="11" t="inlineStr"/>
      <c r="R77" s="12" t="inlineStr"/>
      <c r="S77" s="5" t="inlineStr"/>
      <c r="T77" s="12" t="inlineStr"/>
      <c r="U77" s="5" t="inlineStr"/>
    </row>
    <row r="78">
      <c r="A78" s="4" t="inlineStr">
        <is>
          <t>TR-FR-N02</t>
        </is>
      </c>
      <c r="B78" s="5" t="inlineStr">
        <is>
          <t>Voice Transcription</t>
        </is>
      </c>
      <c r="C78" s="5" t="inlineStr">
        <is>
          <t>Education</t>
        </is>
      </c>
      <c r="D78" s="5" t="inlineStr">
        <is>
          <t>Development Team</t>
        </is>
      </c>
      <c r="E78" s="5" t="inlineStr">
        <is>
          <t>High</t>
        </is>
      </c>
      <c r="F78" s="5" t="inlineStr">
        <is>
          <t>French</t>
        </is>
      </c>
      <c r="G78" s="5" t="inlineStr">
        <is>
          <t>Moderate noise / imperfect pronunciation</t>
        </is>
      </c>
      <c r="H78" s="5" t="inlineStr">
        <is>
          <t>Microphone permission granted; correct input language selected; fictional test data only.</t>
        </is>
      </c>
      <c r="I78" s="5" t="inlineStr">
        <is>
          <t>State a controlled education level and one work goal.</t>
        </is>
      </c>
      <c r="J78" s="5" t="inlineStr">
        <is>
          <t>Start recording; speak the prepared sentence once; stop recording; wait for transcription; compare expected and actual text; verify editing remains possible; record latency and evidence.</t>
        </is>
      </c>
      <c r="K78" s="5" t="inlineStr">
        <is>
          <t>Education and goal words are transcribed without changing their meaning.</t>
        </is>
      </c>
      <c r="L78" s="5" t="inlineStr"/>
      <c r="M78" s="5" t="inlineStr"/>
      <c r="N78" s="5" t="inlineStr"/>
      <c r="O78" s="5" t="inlineStr"/>
      <c r="P78" s="10" t="inlineStr"/>
      <c r="Q78" s="11" t="inlineStr"/>
      <c r="R78" s="12" t="inlineStr"/>
      <c r="S78" s="5" t="inlineStr"/>
      <c r="T78" s="12" t="inlineStr"/>
      <c r="U78" s="5" t="inlineStr"/>
    </row>
    <row r="79">
      <c r="A79" s="4" t="inlineStr">
        <is>
          <t>TR-FR-N03</t>
        </is>
      </c>
      <c r="B79" s="5" t="inlineStr">
        <is>
          <t>Voice Transcription</t>
        </is>
      </c>
      <c r="C79" s="5" t="inlineStr">
        <is>
          <t>Foundation abilities</t>
        </is>
      </c>
      <c r="D79" s="5" t="inlineStr">
        <is>
          <t>Development Team</t>
        </is>
      </c>
      <c r="E79" s="5" t="inlineStr">
        <is>
          <t>High</t>
        </is>
      </c>
      <c r="F79" s="5" t="inlineStr">
        <is>
          <t>French</t>
        </is>
      </c>
      <c r="G79" s="5" t="inlineStr">
        <is>
          <t>Moderate noise / imperfect pronunciation</t>
        </is>
      </c>
      <c r="H79" s="5" t="inlineStr">
        <is>
          <t>Microphone permission granted; correct input language selected; fictional test data only.</t>
        </is>
      </c>
      <c r="I79" s="5" t="inlineStr">
        <is>
          <t>State reading, writing and counting ability in one natural sentence.</t>
        </is>
      </c>
      <c r="J79" s="5" t="inlineStr">
        <is>
          <t>Start recording; speak the prepared sentence once; stop recording; wait for transcription; compare expected and actual text; verify editing remains possible; record latency and evidence.</t>
        </is>
      </c>
      <c r="K79" s="5" t="inlineStr">
        <is>
          <t>All three ability concepts appear correctly in the editable transcript.</t>
        </is>
      </c>
      <c r="L79" s="5" t="inlineStr"/>
      <c r="M79" s="5" t="inlineStr"/>
      <c r="N79" s="5" t="inlineStr"/>
      <c r="O79" s="5" t="inlineStr"/>
      <c r="P79" s="10" t="inlineStr"/>
      <c r="Q79" s="11" t="inlineStr"/>
      <c r="R79" s="12" t="inlineStr"/>
      <c r="S79" s="5" t="inlineStr"/>
      <c r="T79" s="12" t="inlineStr"/>
      <c r="U79" s="5" t="inlineStr"/>
    </row>
    <row r="80">
      <c r="A80" s="4" t="inlineStr">
        <is>
          <t>TR-FR-N04</t>
        </is>
      </c>
      <c r="B80" s="5" t="inlineStr">
        <is>
          <t>Voice Transcription</t>
        </is>
      </c>
      <c r="C80" s="5" t="inlineStr">
        <is>
          <t>Opportunity preference</t>
        </is>
      </c>
      <c r="D80" s="5" t="inlineStr">
        <is>
          <t>Development Team</t>
        </is>
      </c>
      <c r="E80" s="5" t="inlineStr">
        <is>
          <t>High</t>
        </is>
      </c>
      <c r="F80" s="5" t="inlineStr">
        <is>
          <t>French</t>
        </is>
      </c>
      <c r="G80" s="5" t="inlineStr">
        <is>
          <t>Moderate noise / imperfect pronunciation</t>
        </is>
      </c>
      <c r="H80" s="5" t="inlineStr">
        <is>
          <t>Microphone permission granted; correct input language selected; fictional test data only.</t>
        </is>
      </c>
      <c r="I80" s="5" t="inlineStr">
        <is>
          <t>State work, training or both and name Cashier as the preferred position.</t>
        </is>
      </c>
      <c r="J80" s="5" t="inlineStr">
        <is>
          <t>Start recording; speak the prepared sentence once; stop recording; wait for transcription; compare expected and actual text; verify editing remains possible; record latency and evidence.</t>
        </is>
      </c>
      <c r="K80" s="5" t="inlineStr">
        <is>
          <t>Opportunity type and Cashier interest are preserved.</t>
        </is>
      </c>
      <c r="L80" s="5" t="inlineStr"/>
      <c r="M80" s="5" t="inlineStr"/>
      <c r="N80" s="5" t="inlineStr"/>
      <c r="O80" s="5" t="inlineStr"/>
      <c r="P80" s="10" t="inlineStr"/>
      <c r="Q80" s="11" t="inlineStr"/>
      <c r="R80" s="12" t="inlineStr"/>
      <c r="S80" s="5" t="inlineStr"/>
      <c r="T80" s="12" t="inlineStr"/>
      <c r="U80" s="5" t="inlineStr"/>
    </row>
    <row r="81">
      <c r="A81" s="4" t="inlineStr">
        <is>
          <t>TR-FR-N05</t>
        </is>
      </c>
      <c r="B81" s="5" t="inlineStr">
        <is>
          <t>Voice Transcription</t>
        </is>
      </c>
      <c r="C81" s="5" t="inlineStr">
        <is>
          <t>Disability and task evidence</t>
        </is>
      </c>
      <c r="D81" s="5" t="inlineStr">
        <is>
          <t>Development Team</t>
        </is>
      </c>
      <c r="E81" s="5" t="inlineStr">
        <is>
          <t>High</t>
        </is>
      </c>
      <c r="F81" s="5" t="inlineStr">
        <is>
          <t>French</t>
        </is>
      </c>
      <c r="G81" s="5" t="inlineStr">
        <is>
          <t>Moderate noise / imperfect pronunciation</t>
        </is>
      </c>
      <c r="H81" s="5" t="inlineStr">
        <is>
          <t>Microphone permission granted; correct input language selected; fictional test data only.</t>
        </is>
      </c>
      <c r="I81" s="5" t="inlineStr">
        <is>
          <t>Explicitly name Hand and three Cashier task skills.</t>
        </is>
      </c>
      <c r="J81" s="5" t="inlineStr">
        <is>
          <t>Start recording; speak the prepared sentence once; stop recording; wait for transcription; compare expected and actual text; verify editing remains possible; record latency and evidence.</t>
        </is>
      </c>
      <c r="K81" s="5" t="inlineStr">
        <is>
          <t>The explicit term and important task phrases remain understandable and editable.</t>
        </is>
      </c>
      <c r="L81" s="5" t="inlineStr"/>
      <c r="M81" s="5" t="inlineStr"/>
      <c r="N81" s="5" t="inlineStr"/>
      <c r="O81" s="5" t="inlineStr"/>
      <c r="P81" s="10" t="inlineStr"/>
      <c r="Q81" s="11" t="inlineStr"/>
      <c r="R81" s="12" t="inlineStr"/>
      <c r="S81" s="5" t="inlineStr"/>
      <c r="T81" s="12" t="inlineStr"/>
      <c r="U81" s="5" t="inlineStr"/>
    </row>
    <row r="82">
      <c r="A82" s="4" t="inlineStr">
        <is>
          <t>TR-AR-Q01</t>
        </is>
      </c>
      <c r="B82" s="5" t="inlineStr">
        <is>
          <t>Voice Transcription</t>
        </is>
      </c>
      <c r="C82" s="5" t="inlineStr">
        <is>
          <t>Identity and contact</t>
        </is>
      </c>
      <c r="D82" s="5" t="inlineStr">
        <is>
          <t>Development Team</t>
        </is>
      </c>
      <c r="E82" s="5" t="inlineStr">
        <is>
          <t>High</t>
        </is>
      </c>
      <c r="F82" s="5" t="inlineStr">
        <is>
          <t>Arabic</t>
        </is>
      </c>
      <c r="G82" s="5" t="inlineStr">
        <is>
          <t>Quiet</t>
        </is>
      </c>
      <c r="H82" s="5" t="inlineStr">
        <is>
          <t>Microphone permission granted; correct input language selected; fictional test data only.</t>
        </is>
      </c>
      <c r="I82" s="5" t="inlineStr">
        <is>
          <t>Speak a fictional name, Beirut location and an eight-digit phone number.</t>
        </is>
      </c>
      <c r="J82" s="5" t="inlineStr">
        <is>
          <t>Start recording; speak the prepared sentence once; stop recording; wait for transcription; compare expected and actual text; verify editing remains possible; record latency and evidence.</t>
        </is>
      </c>
      <c r="K82" s="5" t="inlineStr">
        <is>
          <t>Transcript preserves the name, location and all digits correctly.</t>
        </is>
      </c>
      <c r="L82" s="5" t="inlineStr"/>
      <c r="M82" s="5" t="inlineStr"/>
      <c r="N82" s="5" t="inlineStr"/>
      <c r="O82" s="5" t="inlineStr"/>
      <c r="P82" s="10" t="inlineStr"/>
      <c r="Q82" s="11" t="inlineStr"/>
      <c r="R82" s="12" t="inlineStr"/>
      <c r="S82" s="5" t="inlineStr"/>
      <c r="T82" s="12" t="inlineStr"/>
      <c r="U82" s="5" t="inlineStr"/>
    </row>
    <row r="83">
      <c r="A83" s="4" t="inlineStr">
        <is>
          <t>TR-AR-Q02</t>
        </is>
      </c>
      <c r="B83" s="5" t="inlineStr">
        <is>
          <t>Voice Transcription</t>
        </is>
      </c>
      <c r="C83" s="5" t="inlineStr">
        <is>
          <t>Education</t>
        </is>
      </c>
      <c r="D83" s="5" t="inlineStr">
        <is>
          <t>Development Team</t>
        </is>
      </c>
      <c r="E83" s="5" t="inlineStr">
        <is>
          <t>High</t>
        </is>
      </c>
      <c r="F83" s="5" t="inlineStr">
        <is>
          <t>Arabic</t>
        </is>
      </c>
      <c r="G83" s="5" t="inlineStr">
        <is>
          <t>Quiet</t>
        </is>
      </c>
      <c r="H83" s="5" t="inlineStr">
        <is>
          <t>Microphone permission granted; correct input language selected; fictional test data only.</t>
        </is>
      </c>
      <c r="I83" s="5" t="inlineStr">
        <is>
          <t>State a controlled education level and one work goal.</t>
        </is>
      </c>
      <c r="J83" s="5" t="inlineStr">
        <is>
          <t>Start recording; speak the prepared sentence once; stop recording; wait for transcription; compare expected and actual text; verify editing remains possible; record latency and evidence.</t>
        </is>
      </c>
      <c r="K83" s="5" t="inlineStr">
        <is>
          <t>Education and goal words are transcribed without changing their meaning.</t>
        </is>
      </c>
      <c r="L83" s="5" t="inlineStr"/>
      <c r="M83" s="5" t="inlineStr"/>
      <c r="N83" s="5" t="inlineStr"/>
      <c r="O83" s="5" t="inlineStr"/>
      <c r="P83" s="10" t="inlineStr"/>
      <c r="Q83" s="11" t="inlineStr"/>
      <c r="R83" s="12" t="inlineStr"/>
      <c r="S83" s="5" t="inlineStr"/>
      <c r="T83" s="12" t="inlineStr"/>
      <c r="U83" s="5" t="inlineStr"/>
    </row>
    <row r="84">
      <c r="A84" s="4" t="inlineStr">
        <is>
          <t>TR-AR-Q03</t>
        </is>
      </c>
      <c r="B84" s="5" t="inlineStr">
        <is>
          <t>Voice Transcription</t>
        </is>
      </c>
      <c r="C84" s="5" t="inlineStr">
        <is>
          <t>Foundation abilities</t>
        </is>
      </c>
      <c r="D84" s="5" t="inlineStr">
        <is>
          <t>Development Team</t>
        </is>
      </c>
      <c r="E84" s="5" t="inlineStr">
        <is>
          <t>High</t>
        </is>
      </c>
      <c r="F84" s="5" t="inlineStr">
        <is>
          <t>Arabic</t>
        </is>
      </c>
      <c r="G84" s="5" t="inlineStr">
        <is>
          <t>Quiet</t>
        </is>
      </c>
      <c r="H84" s="5" t="inlineStr">
        <is>
          <t>Microphone permission granted; correct input language selected; fictional test data only.</t>
        </is>
      </c>
      <c r="I84" s="5" t="inlineStr">
        <is>
          <t>State reading, writing and counting ability in one natural sentence.</t>
        </is>
      </c>
      <c r="J84" s="5" t="inlineStr">
        <is>
          <t>Start recording; speak the prepared sentence once; stop recording; wait for transcription; compare expected and actual text; verify editing remains possible; record latency and evidence.</t>
        </is>
      </c>
      <c r="K84" s="5" t="inlineStr">
        <is>
          <t>All three ability concepts appear correctly in the editable transcript.</t>
        </is>
      </c>
      <c r="L84" s="5" t="inlineStr"/>
      <c r="M84" s="5" t="inlineStr"/>
      <c r="N84" s="5" t="inlineStr"/>
      <c r="O84" s="5" t="inlineStr"/>
      <c r="P84" s="10" t="inlineStr"/>
      <c r="Q84" s="11" t="inlineStr"/>
      <c r="R84" s="12" t="inlineStr"/>
      <c r="S84" s="5" t="inlineStr"/>
      <c r="T84" s="12" t="inlineStr"/>
      <c r="U84" s="5" t="inlineStr"/>
    </row>
    <row r="85">
      <c r="A85" s="4" t="inlineStr">
        <is>
          <t>TR-AR-Q04</t>
        </is>
      </c>
      <c r="B85" s="5" t="inlineStr">
        <is>
          <t>Voice Transcription</t>
        </is>
      </c>
      <c r="C85" s="5" t="inlineStr">
        <is>
          <t>Opportunity preference</t>
        </is>
      </c>
      <c r="D85" s="5" t="inlineStr">
        <is>
          <t>Development Team</t>
        </is>
      </c>
      <c r="E85" s="5" t="inlineStr">
        <is>
          <t>High</t>
        </is>
      </c>
      <c r="F85" s="5" t="inlineStr">
        <is>
          <t>Arabic</t>
        </is>
      </c>
      <c r="G85" s="5" t="inlineStr">
        <is>
          <t>Quiet</t>
        </is>
      </c>
      <c r="H85" s="5" t="inlineStr">
        <is>
          <t>Microphone permission granted; correct input language selected; fictional test data only.</t>
        </is>
      </c>
      <c r="I85" s="5" t="inlineStr">
        <is>
          <t>State work, training or both and name Cashier as the preferred position.</t>
        </is>
      </c>
      <c r="J85" s="5" t="inlineStr">
        <is>
          <t>Start recording; speak the prepared sentence once; stop recording; wait for transcription; compare expected and actual text; verify editing remains possible; record latency and evidence.</t>
        </is>
      </c>
      <c r="K85" s="5" t="inlineStr">
        <is>
          <t>Opportunity type and Cashier interest are preserved.</t>
        </is>
      </c>
      <c r="L85" s="5" t="inlineStr"/>
      <c r="M85" s="5" t="inlineStr"/>
      <c r="N85" s="5" t="inlineStr"/>
      <c r="O85" s="5" t="inlineStr"/>
      <c r="P85" s="10" t="inlineStr"/>
      <c r="Q85" s="11" t="inlineStr"/>
      <c r="R85" s="12" t="inlineStr"/>
      <c r="S85" s="5" t="inlineStr"/>
      <c r="T85" s="12" t="inlineStr"/>
      <c r="U85" s="5" t="inlineStr"/>
    </row>
    <row r="86">
      <c r="A86" s="4" t="inlineStr">
        <is>
          <t>TR-AR-Q05</t>
        </is>
      </c>
      <c r="B86" s="5" t="inlineStr">
        <is>
          <t>Voice Transcription</t>
        </is>
      </c>
      <c r="C86" s="5" t="inlineStr">
        <is>
          <t>Disability and task evidence</t>
        </is>
      </c>
      <c r="D86" s="5" t="inlineStr">
        <is>
          <t>Development Team</t>
        </is>
      </c>
      <c r="E86" s="5" t="inlineStr">
        <is>
          <t>High</t>
        </is>
      </c>
      <c r="F86" s="5" t="inlineStr">
        <is>
          <t>Arabic</t>
        </is>
      </c>
      <c r="G86" s="5" t="inlineStr">
        <is>
          <t>Quiet</t>
        </is>
      </c>
      <c r="H86" s="5" t="inlineStr">
        <is>
          <t>Microphone permission granted; correct input language selected; fictional test data only.</t>
        </is>
      </c>
      <c r="I86" s="5" t="inlineStr">
        <is>
          <t>Explicitly name Hand and three Cashier task skills.</t>
        </is>
      </c>
      <c r="J86" s="5" t="inlineStr">
        <is>
          <t>Start recording; speak the prepared sentence once; stop recording; wait for transcription; compare expected and actual text; verify editing remains possible; record latency and evidence.</t>
        </is>
      </c>
      <c r="K86" s="5" t="inlineStr">
        <is>
          <t>The explicit term and important task phrases remain understandable and editable.</t>
        </is>
      </c>
      <c r="L86" s="5" t="inlineStr"/>
      <c r="M86" s="5" t="inlineStr"/>
      <c r="N86" s="5" t="inlineStr"/>
      <c r="O86" s="5" t="inlineStr"/>
      <c r="P86" s="10" t="inlineStr"/>
      <c r="Q86" s="11" t="inlineStr"/>
      <c r="R86" s="12" t="inlineStr"/>
      <c r="S86" s="5" t="inlineStr"/>
      <c r="T86" s="12" t="inlineStr"/>
      <c r="U86" s="5" t="inlineStr"/>
    </row>
    <row r="87">
      <c r="A87" s="4" t="inlineStr">
        <is>
          <t>TR-AR-N01</t>
        </is>
      </c>
      <c r="B87" s="5" t="inlineStr">
        <is>
          <t>Voice Transcription</t>
        </is>
      </c>
      <c r="C87" s="5" t="inlineStr">
        <is>
          <t>Identity and contact</t>
        </is>
      </c>
      <c r="D87" s="5" t="inlineStr">
        <is>
          <t>Development Team</t>
        </is>
      </c>
      <c r="E87" s="5" t="inlineStr">
        <is>
          <t>High</t>
        </is>
      </c>
      <c r="F87" s="5" t="inlineStr">
        <is>
          <t>Arabic</t>
        </is>
      </c>
      <c r="G87" s="5" t="inlineStr">
        <is>
          <t>Moderate noise / imperfect pronunciation</t>
        </is>
      </c>
      <c r="H87" s="5" t="inlineStr">
        <is>
          <t>Microphone permission granted; correct input language selected; fictional test data only.</t>
        </is>
      </c>
      <c r="I87" s="5" t="inlineStr">
        <is>
          <t>Speak a fictional name, Beirut location and an eight-digit phone number.</t>
        </is>
      </c>
      <c r="J87" s="5" t="inlineStr">
        <is>
          <t>Start recording; speak the prepared sentence once; stop recording; wait for transcription; compare expected and actual text; verify editing remains possible; record latency and evidence.</t>
        </is>
      </c>
      <c r="K87" s="5" t="inlineStr">
        <is>
          <t>Transcript preserves the name, location and all digits correctly.</t>
        </is>
      </c>
      <c r="L87" s="5" t="inlineStr"/>
      <c r="M87" s="5" t="inlineStr"/>
      <c r="N87" s="5" t="inlineStr"/>
      <c r="O87" s="5" t="inlineStr"/>
      <c r="P87" s="10" t="inlineStr"/>
      <c r="Q87" s="11" t="inlineStr"/>
      <c r="R87" s="12" t="inlineStr"/>
      <c r="S87" s="5" t="inlineStr"/>
      <c r="T87" s="12" t="inlineStr"/>
      <c r="U87" s="5" t="inlineStr"/>
    </row>
    <row r="88">
      <c r="A88" s="4" t="inlineStr">
        <is>
          <t>TR-AR-N02</t>
        </is>
      </c>
      <c r="B88" s="5" t="inlineStr">
        <is>
          <t>Voice Transcription</t>
        </is>
      </c>
      <c r="C88" s="5" t="inlineStr">
        <is>
          <t>Education</t>
        </is>
      </c>
      <c r="D88" s="5" t="inlineStr">
        <is>
          <t>Development Team</t>
        </is>
      </c>
      <c r="E88" s="5" t="inlineStr">
        <is>
          <t>High</t>
        </is>
      </c>
      <c r="F88" s="5" t="inlineStr">
        <is>
          <t>Arabic</t>
        </is>
      </c>
      <c r="G88" s="5" t="inlineStr">
        <is>
          <t>Moderate noise / imperfect pronunciation</t>
        </is>
      </c>
      <c r="H88" s="5" t="inlineStr">
        <is>
          <t>Microphone permission granted; correct input language selected; fictional test data only.</t>
        </is>
      </c>
      <c r="I88" s="5" t="inlineStr">
        <is>
          <t>State a controlled education level and one work goal.</t>
        </is>
      </c>
      <c r="J88" s="5" t="inlineStr">
        <is>
          <t>Start recording; speak the prepared sentence once; stop recording; wait for transcription; compare expected and actual text; verify editing remains possible; record latency and evidence.</t>
        </is>
      </c>
      <c r="K88" s="5" t="inlineStr">
        <is>
          <t>Education and goal words are transcribed without changing their meaning.</t>
        </is>
      </c>
      <c r="L88" s="5" t="inlineStr"/>
      <c r="M88" s="5" t="inlineStr"/>
      <c r="N88" s="5" t="inlineStr"/>
      <c r="O88" s="5" t="inlineStr"/>
      <c r="P88" s="10" t="inlineStr"/>
      <c r="Q88" s="11" t="inlineStr"/>
      <c r="R88" s="12" t="inlineStr"/>
      <c r="S88" s="5" t="inlineStr"/>
      <c r="T88" s="12" t="inlineStr"/>
      <c r="U88" s="5" t="inlineStr"/>
    </row>
    <row r="89">
      <c r="A89" s="4" t="inlineStr">
        <is>
          <t>TR-AR-N03</t>
        </is>
      </c>
      <c r="B89" s="5" t="inlineStr">
        <is>
          <t>Voice Transcription</t>
        </is>
      </c>
      <c r="C89" s="5" t="inlineStr">
        <is>
          <t>Foundation abilities</t>
        </is>
      </c>
      <c r="D89" s="5" t="inlineStr">
        <is>
          <t>Development Team</t>
        </is>
      </c>
      <c r="E89" s="5" t="inlineStr">
        <is>
          <t>High</t>
        </is>
      </c>
      <c r="F89" s="5" t="inlineStr">
        <is>
          <t>Arabic</t>
        </is>
      </c>
      <c r="G89" s="5" t="inlineStr">
        <is>
          <t>Moderate noise / imperfect pronunciation</t>
        </is>
      </c>
      <c r="H89" s="5" t="inlineStr">
        <is>
          <t>Microphone permission granted; correct input language selected; fictional test data only.</t>
        </is>
      </c>
      <c r="I89" s="5" t="inlineStr">
        <is>
          <t>State reading, writing and counting ability in one natural sentence.</t>
        </is>
      </c>
      <c r="J89" s="5" t="inlineStr">
        <is>
          <t>Start recording; speak the prepared sentence once; stop recording; wait for transcription; compare expected and actual text; verify editing remains possible; record latency and evidence.</t>
        </is>
      </c>
      <c r="K89" s="5" t="inlineStr">
        <is>
          <t>All three ability concepts appear correctly in the editable transcript.</t>
        </is>
      </c>
      <c r="L89" s="5" t="inlineStr"/>
      <c r="M89" s="5" t="inlineStr"/>
      <c r="N89" s="5" t="inlineStr"/>
      <c r="O89" s="5" t="inlineStr"/>
      <c r="P89" s="10" t="inlineStr"/>
      <c r="Q89" s="11" t="inlineStr"/>
      <c r="R89" s="12" t="inlineStr"/>
      <c r="S89" s="5" t="inlineStr"/>
      <c r="T89" s="12" t="inlineStr"/>
      <c r="U89" s="5" t="inlineStr"/>
    </row>
    <row r="90">
      <c r="A90" s="4" t="inlineStr">
        <is>
          <t>TR-AR-N04</t>
        </is>
      </c>
      <c r="B90" s="5" t="inlineStr">
        <is>
          <t>Voice Transcription</t>
        </is>
      </c>
      <c r="C90" s="5" t="inlineStr">
        <is>
          <t>Opportunity preference</t>
        </is>
      </c>
      <c r="D90" s="5" t="inlineStr">
        <is>
          <t>Development Team</t>
        </is>
      </c>
      <c r="E90" s="5" t="inlineStr">
        <is>
          <t>High</t>
        </is>
      </c>
      <c r="F90" s="5" t="inlineStr">
        <is>
          <t>Arabic</t>
        </is>
      </c>
      <c r="G90" s="5" t="inlineStr">
        <is>
          <t>Moderate noise / imperfect pronunciation</t>
        </is>
      </c>
      <c r="H90" s="5" t="inlineStr">
        <is>
          <t>Microphone permission granted; correct input language selected; fictional test data only.</t>
        </is>
      </c>
      <c r="I90" s="5" t="inlineStr">
        <is>
          <t>State work, training or both and name Cashier as the preferred position.</t>
        </is>
      </c>
      <c r="J90" s="5" t="inlineStr">
        <is>
          <t>Start recording; speak the prepared sentence once; stop recording; wait for transcription; compare expected and actual text; verify editing remains possible; record latency and evidence.</t>
        </is>
      </c>
      <c r="K90" s="5" t="inlineStr">
        <is>
          <t>Opportunity type and Cashier interest are preserved.</t>
        </is>
      </c>
      <c r="L90" s="5" t="inlineStr"/>
      <c r="M90" s="5" t="inlineStr"/>
      <c r="N90" s="5" t="inlineStr"/>
      <c r="O90" s="5" t="inlineStr"/>
      <c r="P90" s="10" t="inlineStr"/>
      <c r="Q90" s="11" t="inlineStr"/>
      <c r="R90" s="12" t="inlineStr"/>
      <c r="S90" s="5" t="inlineStr"/>
      <c r="T90" s="12" t="inlineStr"/>
      <c r="U90" s="5" t="inlineStr"/>
    </row>
    <row r="91">
      <c r="A91" s="4" t="inlineStr">
        <is>
          <t>TR-AR-N05</t>
        </is>
      </c>
      <c r="B91" s="5" t="inlineStr">
        <is>
          <t>Voice Transcription</t>
        </is>
      </c>
      <c r="C91" s="5" t="inlineStr">
        <is>
          <t>Disability and task evidence</t>
        </is>
      </c>
      <c r="D91" s="5" t="inlineStr">
        <is>
          <t>Development Team</t>
        </is>
      </c>
      <c r="E91" s="5" t="inlineStr">
        <is>
          <t>High</t>
        </is>
      </c>
      <c r="F91" s="5" t="inlineStr">
        <is>
          <t>Arabic</t>
        </is>
      </c>
      <c r="G91" s="5" t="inlineStr">
        <is>
          <t>Moderate noise / imperfect pronunciation</t>
        </is>
      </c>
      <c r="H91" s="5" t="inlineStr">
        <is>
          <t>Microphone permission granted; correct input language selected; fictional test data only.</t>
        </is>
      </c>
      <c r="I91" s="5" t="inlineStr">
        <is>
          <t>Explicitly name Hand and three Cashier task skills.</t>
        </is>
      </c>
      <c r="J91" s="5" t="inlineStr">
        <is>
          <t>Start recording; speak the prepared sentence once; stop recording; wait for transcription; compare expected and actual text; verify editing remains possible; record latency and evidence.</t>
        </is>
      </c>
      <c r="K91" s="5" t="inlineStr">
        <is>
          <t>The explicit term and important task phrases remain understandable and editable.</t>
        </is>
      </c>
      <c r="L91" s="5" t="inlineStr"/>
      <c r="M91" s="5" t="inlineStr"/>
      <c r="N91" s="5" t="inlineStr"/>
      <c r="O91" s="5" t="inlineStr"/>
      <c r="P91" s="10" t="inlineStr"/>
      <c r="Q91" s="11" t="inlineStr"/>
      <c r="R91" s="12" t="inlineStr"/>
      <c r="S91" s="5" t="inlineStr"/>
      <c r="T91" s="12" t="inlineStr"/>
      <c r="U91" s="5" t="inlineStr"/>
    </row>
    <row r="92">
      <c r="A92" s="4" t="inlineStr">
        <is>
          <t>VN-EN-01</t>
        </is>
      </c>
      <c r="B92" s="5" t="inlineStr">
        <is>
          <t>Voice Navigation</t>
        </is>
      </c>
      <c r="C92" s="5" t="inlineStr">
        <is>
          <t>Navigation</t>
        </is>
      </c>
      <c r="D92" s="5" t="inlineStr">
        <is>
          <t>Development Team</t>
        </is>
      </c>
      <c r="E92" s="5" t="inlineStr">
        <is>
          <t>High</t>
        </is>
      </c>
      <c r="F92" s="5" t="inlineStr">
        <is>
          <t>English</t>
        </is>
      </c>
      <c r="G92" s="5" t="inlineStr">
        <is>
          <t>Quiet first; repeat failed cases with moderate noise</t>
        </is>
      </c>
      <c r="H92" s="5" t="inlineStr">
        <is>
          <t>Correct role authenticated where required; microphone enabled; voice language selected.</t>
        </is>
      </c>
      <c r="I92" s="5" t="inlineStr">
        <is>
          <t>Open jobs</t>
        </is>
      </c>
      <c r="J92" s="5" t="inlineStr">
        <is>
          <t>Speak the command once; record transcript, classification, authorization result, final UI action, feedback and latency; capture evidence for failures and sensitive commands.</t>
        </is>
      </c>
      <c r="K92" s="5" t="inlineStr">
        <is>
          <t>The Jobs view opens.</t>
        </is>
      </c>
      <c r="L92" s="5" t="inlineStr"/>
      <c r="M92" s="5" t="inlineStr"/>
      <c r="N92" s="5" t="inlineStr"/>
      <c r="O92" s="5" t="inlineStr"/>
      <c r="P92" s="10" t="inlineStr"/>
      <c r="Q92" s="11" t="inlineStr"/>
      <c r="R92" s="12" t="inlineStr"/>
      <c r="S92" s="5" t="inlineStr"/>
      <c r="T92" s="12" t="inlineStr"/>
      <c r="U92" s="5" t="inlineStr"/>
    </row>
    <row r="93">
      <c r="A93" s="4" t="inlineStr">
        <is>
          <t>VN-EN-02</t>
        </is>
      </c>
      <c r="B93" s="5" t="inlineStr">
        <is>
          <t>Voice Navigation</t>
        </is>
      </c>
      <c r="C93" s="5" t="inlineStr">
        <is>
          <t>Navigation</t>
        </is>
      </c>
      <c r="D93" s="5" t="inlineStr">
        <is>
          <t>Development Team</t>
        </is>
      </c>
      <c r="E93" s="5" t="inlineStr">
        <is>
          <t>High</t>
        </is>
      </c>
      <c r="F93" s="5" t="inlineStr">
        <is>
          <t>English</t>
        </is>
      </c>
      <c r="G93" s="5" t="inlineStr">
        <is>
          <t>Quiet first; repeat failed cases with moderate noise</t>
        </is>
      </c>
      <c r="H93" s="5" t="inlineStr">
        <is>
          <t>Correct role authenticated where required; microphone enabled; voice language selected.</t>
        </is>
      </c>
      <c r="I93" s="5" t="inlineStr">
        <is>
          <t>Open my profile</t>
        </is>
      </c>
      <c r="J93" s="5" t="inlineStr">
        <is>
          <t>Speak the command once; record transcript, classification, authorization result, final UI action, feedback and latency; capture evidence for failures and sensitive commands.</t>
        </is>
      </c>
      <c r="K93" s="5" t="inlineStr">
        <is>
          <t>The candidate Profile view opens.</t>
        </is>
      </c>
      <c r="L93" s="5" t="inlineStr"/>
      <c r="M93" s="5" t="inlineStr"/>
      <c r="N93" s="5" t="inlineStr"/>
      <c r="O93" s="5" t="inlineStr"/>
      <c r="P93" s="10" t="inlineStr"/>
      <c r="Q93" s="11" t="inlineStr"/>
      <c r="R93" s="12" t="inlineStr"/>
      <c r="S93" s="5" t="inlineStr"/>
      <c r="T93" s="12" t="inlineStr"/>
      <c r="U93" s="5" t="inlineStr"/>
    </row>
    <row r="94">
      <c r="A94" s="4" t="inlineStr">
        <is>
          <t>VN-EN-03</t>
        </is>
      </c>
      <c r="B94" s="5" t="inlineStr">
        <is>
          <t>Voice Navigation</t>
        </is>
      </c>
      <c r="C94" s="5" t="inlineStr">
        <is>
          <t>Navigation</t>
        </is>
      </c>
      <c r="D94" s="5" t="inlineStr">
        <is>
          <t>Development Team</t>
        </is>
      </c>
      <c r="E94" s="5" t="inlineStr">
        <is>
          <t>High</t>
        </is>
      </c>
      <c r="F94" s="5" t="inlineStr">
        <is>
          <t>English</t>
        </is>
      </c>
      <c r="G94" s="5" t="inlineStr">
        <is>
          <t>Quiet first; repeat failed cases with moderate noise</t>
        </is>
      </c>
      <c r="H94" s="5" t="inlineStr">
        <is>
          <t>Correct role authenticated where required; microphone enabled; voice language selected.</t>
        </is>
      </c>
      <c r="I94" s="5" t="inlineStr">
        <is>
          <t>Open my applications</t>
        </is>
      </c>
      <c r="J94" s="5" t="inlineStr">
        <is>
          <t>Speak the command once; record transcript, classification, authorization result, final UI action, feedback and latency; capture evidence for failures and sensitive commands.</t>
        </is>
      </c>
      <c r="K94" s="5" t="inlineStr">
        <is>
          <t>The Applications view opens.</t>
        </is>
      </c>
      <c r="L94" s="5" t="inlineStr"/>
      <c r="M94" s="5" t="inlineStr"/>
      <c r="N94" s="5" t="inlineStr"/>
      <c r="O94" s="5" t="inlineStr"/>
      <c r="P94" s="10" t="inlineStr"/>
      <c r="Q94" s="11" t="inlineStr"/>
      <c r="R94" s="12" t="inlineStr"/>
      <c r="S94" s="5" t="inlineStr"/>
      <c r="T94" s="12" t="inlineStr"/>
      <c r="U94" s="5" t="inlineStr"/>
    </row>
    <row r="95">
      <c r="A95" s="4" t="inlineStr">
        <is>
          <t>VN-EN-04</t>
        </is>
      </c>
      <c r="B95" s="5" t="inlineStr">
        <is>
          <t>Voice Navigation</t>
        </is>
      </c>
      <c r="C95" s="5" t="inlineStr">
        <is>
          <t>Navigation</t>
        </is>
      </c>
      <c r="D95" s="5" t="inlineStr">
        <is>
          <t>Development Team</t>
        </is>
      </c>
      <c r="E95" s="5" t="inlineStr">
        <is>
          <t>High</t>
        </is>
      </c>
      <c r="F95" s="5" t="inlineStr">
        <is>
          <t>English</t>
        </is>
      </c>
      <c r="G95" s="5" t="inlineStr">
        <is>
          <t>Quiet first; repeat failed cases with moderate noise</t>
        </is>
      </c>
      <c r="H95" s="5" t="inlineStr">
        <is>
          <t>Correct role authenticated where required; microphone enabled; voice language selected.</t>
        </is>
      </c>
      <c r="I95" s="5" t="inlineStr">
        <is>
          <t>Open privacy and data</t>
        </is>
      </c>
      <c r="J95" s="5" t="inlineStr">
        <is>
          <t>Speak the command once; record transcript, classification, authorization result, final UI action, feedback and latency; capture evidence for failures and sensitive commands.</t>
        </is>
      </c>
      <c r="K95" s="5" t="inlineStr">
        <is>
          <t>The Privacy and data view opens.</t>
        </is>
      </c>
      <c r="L95" s="5" t="inlineStr"/>
      <c r="M95" s="5" t="inlineStr"/>
      <c r="N95" s="5" t="inlineStr"/>
      <c r="O95" s="5" t="inlineStr"/>
      <c r="P95" s="10" t="inlineStr"/>
      <c r="Q95" s="11" t="inlineStr"/>
      <c r="R95" s="12" t="inlineStr"/>
      <c r="S95" s="5" t="inlineStr"/>
      <c r="T95" s="12" t="inlineStr"/>
      <c r="U95" s="5" t="inlineStr"/>
    </row>
    <row r="96">
      <c r="A96" s="4" t="inlineStr">
        <is>
          <t>VN-EN-05</t>
        </is>
      </c>
      <c r="B96" s="5" t="inlineStr">
        <is>
          <t>Voice Navigation</t>
        </is>
      </c>
      <c r="C96" s="5" t="inlineStr">
        <is>
          <t>Navigation</t>
        </is>
      </c>
      <c r="D96" s="5" t="inlineStr">
        <is>
          <t>Development Team</t>
        </is>
      </c>
      <c r="E96" s="5" t="inlineStr">
        <is>
          <t>High</t>
        </is>
      </c>
      <c r="F96" s="5" t="inlineStr">
        <is>
          <t>English</t>
        </is>
      </c>
      <c r="G96" s="5" t="inlineStr">
        <is>
          <t>Quiet first; repeat failed cases with moderate noise</t>
        </is>
      </c>
      <c r="H96" s="5" t="inlineStr">
        <is>
          <t>Correct role authenticated where required; microphone enabled; voice language selected.</t>
        </is>
      </c>
      <c r="I96" s="5" t="inlineStr">
        <is>
          <t>Go to the home page</t>
        </is>
      </c>
      <c r="J96" s="5" t="inlineStr">
        <is>
          <t>Speak the command once; record transcript, classification, authorization result, final UI action, feedback and latency; capture evidence for failures and sensitive commands.</t>
        </is>
      </c>
      <c r="K96" s="5" t="inlineStr">
        <is>
          <t>The public home page opens through a registered route.</t>
        </is>
      </c>
      <c r="L96" s="5" t="inlineStr"/>
      <c r="M96" s="5" t="inlineStr"/>
      <c r="N96" s="5" t="inlineStr"/>
      <c r="O96" s="5" t="inlineStr"/>
      <c r="P96" s="10" t="inlineStr"/>
      <c r="Q96" s="11" t="inlineStr"/>
      <c r="R96" s="12" t="inlineStr"/>
      <c r="S96" s="5" t="inlineStr"/>
      <c r="T96" s="12" t="inlineStr"/>
      <c r="U96" s="5" t="inlineStr"/>
    </row>
    <row r="97">
      <c r="A97" s="4" t="inlineStr">
        <is>
          <t>VN-EN-06</t>
        </is>
      </c>
      <c r="B97" s="5" t="inlineStr">
        <is>
          <t>Voice Navigation</t>
        </is>
      </c>
      <c r="C97" s="5" t="inlineStr">
        <is>
          <t>Navigation</t>
        </is>
      </c>
      <c r="D97" s="5" t="inlineStr">
        <is>
          <t>Development Team</t>
        </is>
      </c>
      <c r="E97" s="5" t="inlineStr">
        <is>
          <t>High</t>
        </is>
      </c>
      <c r="F97" s="5" t="inlineStr">
        <is>
          <t>English</t>
        </is>
      </c>
      <c r="G97" s="5" t="inlineStr">
        <is>
          <t>Quiet first; repeat failed cases with moderate noise</t>
        </is>
      </c>
      <c r="H97" s="5" t="inlineStr">
        <is>
          <t>Correct role authenticated where required; microphone enabled; voice language selected.</t>
        </is>
      </c>
      <c r="I97" s="5" t="inlineStr">
        <is>
          <t>Open voice navigation help</t>
        </is>
      </c>
      <c r="J97" s="5" t="inlineStr">
        <is>
          <t>Speak the command once; record transcript, classification, authorization result, final UI action, feedback and latency; capture evidence for failures and sensitive commands.</t>
        </is>
      </c>
      <c r="K97" s="5" t="inlineStr">
        <is>
          <t>The registered voice-help page opens.</t>
        </is>
      </c>
      <c r="L97" s="5" t="inlineStr"/>
      <c r="M97" s="5" t="inlineStr"/>
      <c r="N97" s="5" t="inlineStr"/>
      <c r="O97" s="5" t="inlineStr"/>
      <c r="P97" s="10" t="inlineStr"/>
      <c r="Q97" s="11" t="inlineStr"/>
      <c r="R97" s="12" t="inlineStr"/>
      <c r="S97" s="5" t="inlineStr"/>
      <c r="T97" s="12" t="inlineStr"/>
      <c r="U97" s="5" t="inlineStr"/>
    </row>
    <row r="98">
      <c r="A98" s="4" t="inlineStr">
        <is>
          <t>VN-EN-07</t>
        </is>
      </c>
      <c r="B98" s="5" t="inlineStr">
        <is>
          <t>Voice Navigation</t>
        </is>
      </c>
      <c r="C98" s="5" t="inlineStr">
        <is>
          <t>Interface action</t>
        </is>
      </c>
      <c r="D98" s="5" t="inlineStr">
        <is>
          <t>Development Team</t>
        </is>
      </c>
      <c r="E98" s="5" t="inlineStr">
        <is>
          <t>High</t>
        </is>
      </c>
      <c r="F98" s="5" t="inlineStr">
        <is>
          <t>English</t>
        </is>
      </c>
      <c r="G98" s="5" t="inlineStr">
        <is>
          <t>Quiet first; repeat failed cases with moderate noise</t>
        </is>
      </c>
      <c r="H98" s="5" t="inlineStr">
        <is>
          <t>Correct role authenticated where required; microphone enabled; voice language selected.</t>
        </is>
      </c>
      <c r="I98" s="5" t="inlineStr">
        <is>
          <t>Select work and training</t>
        </is>
      </c>
      <c r="J98" s="5" t="inlineStr">
        <is>
          <t>Speak the command once; record transcript, classification, authorization result, final UI action, feedback and latency; capture evidence for failures and sensitive commands.</t>
        </is>
      </c>
      <c r="K98" s="5" t="inlineStr">
        <is>
          <t>The Both opportunity option is selected and announced.</t>
        </is>
      </c>
      <c r="L98" s="5" t="inlineStr"/>
      <c r="M98" s="5" t="inlineStr"/>
      <c r="N98" s="5" t="inlineStr"/>
      <c r="O98" s="5" t="inlineStr"/>
      <c r="P98" s="10" t="inlineStr"/>
      <c r="Q98" s="11" t="inlineStr"/>
      <c r="R98" s="12" t="inlineStr"/>
      <c r="S98" s="5" t="inlineStr"/>
      <c r="T98" s="12" t="inlineStr"/>
      <c r="U98" s="5" t="inlineStr"/>
    </row>
    <row r="99">
      <c r="A99" s="4" t="inlineStr">
        <is>
          <t>VN-EN-08</t>
        </is>
      </c>
      <c r="B99" s="5" t="inlineStr">
        <is>
          <t>Voice Navigation</t>
        </is>
      </c>
      <c r="C99" s="5" t="inlineStr">
        <is>
          <t>Interface action</t>
        </is>
      </c>
      <c r="D99" s="5" t="inlineStr">
        <is>
          <t>Development Team</t>
        </is>
      </c>
      <c r="E99" s="5" t="inlineStr">
        <is>
          <t>High</t>
        </is>
      </c>
      <c r="F99" s="5" t="inlineStr">
        <is>
          <t>English</t>
        </is>
      </c>
      <c r="G99" s="5" t="inlineStr">
        <is>
          <t>Quiet first; repeat failed cases with moderate noise</t>
        </is>
      </c>
      <c r="H99" s="5" t="inlineStr">
        <is>
          <t>Correct role authenticated where required; microphone enabled; voice language selected.</t>
        </is>
      </c>
      <c r="I99" s="5" t="inlineStr">
        <is>
          <t>Set reading to independently</t>
        </is>
      </c>
      <c r="J99" s="5" t="inlineStr">
        <is>
          <t>Speak the command once; record transcript, classification, authorization result, final UI action, feedback and latency; capture evidence for failures and sensitive commands.</t>
        </is>
      </c>
      <c r="K99" s="5" t="inlineStr">
        <is>
          <t>Reading is set to independent and announced for review.</t>
        </is>
      </c>
      <c r="L99" s="5" t="inlineStr"/>
      <c r="M99" s="5" t="inlineStr"/>
      <c r="N99" s="5" t="inlineStr"/>
      <c r="O99" s="5" t="inlineStr"/>
      <c r="P99" s="10" t="inlineStr"/>
      <c r="Q99" s="11" t="inlineStr"/>
      <c r="R99" s="12" t="inlineStr"/>
      <c r="S99" s="5" t="inlineStr"/>
      <c r="T99" s="12" t="inlineStr"/>
      <c r="U99" s="5" t="inlineStr"/>
    </row>
    <row r="100">
      <c r="A100" s="4" t="inlineStr">
        <is>
          <t>VN-EN-09</t>
        </is>
      </c>
      <c r="B100" s="5" t="inlineStr">
        <is>
          <t>Voice Navigation</t>
        </is>
      </c>
      <c r="C100" s="5" t="inlineStr">
        <is>
          <t>Interface action</t>
        </is>
      </c>
      <c r="D100" s="5" t="inlineStr">
        <is>
          <t>Development Team</t>
        </is>
      </c>
      <c r="E100" s="5" t="inlineStr">
        <is>
          <t>High</t>
        </is>
      </c>
      <c r="F100" s="5" t="inlineStr">
        <is>
          <t>English</t>
        </is>
      </c>
      <c r="G100" s="5" t="inlineStr">
        <is>
          <t>Quiet first; repeat failed cases with moderate noise</t>
        </is>
      </c>
      <c r="H100" s="5" t="inlineStr">
        <is>
          <t>Correct role authenticated where required; microphone enabled; voice language selected.</t>
        </is>
      </c>
      <c r="I100" s="5" t="inlineStr">
        <is>
          <t>Choose Cashier</t>
        </is>
      </c>
      <c r="J100" s="5" t="inlineStr">
        <is>
          <t>Speak the command once; record transcript, classification, authorization result, final UI action, feedback and latency; capture evidence for failures and sensitive commands.</t>
        </is>
      </c>
      <c r="K100" s="5" t="inlineStr">
        <is>
          <t>The controlled Cashier option is selected or focused as designed.</t>
        </is>
      </c>
      <c r="L100" s="5" t="inlineStr"/>
      <c r="M100" s="5" t="inlineStr"/>
      <c r="N100" s="5" t="inlineStr"/>
      <c r="O100" s="5" t="inlineStr"/>
      <c r="P100" s="10" t="inlineStr"/>
      <c r="Q100" s="11" t="inlineStr"/>
      <c r="R100" s="12" t="inlineStr"/>
      <c r="S100" s="5" t="inlineStr"/>
      <c r="T100" s="12" t="inlineStr"/>
      <c r="U100" s="5" t="inlineStr"/>
    </row>
    <row r="101">
      <c r="A101" s="4" t="inlineStr">
        <is>
          <t>VN-EN-10</t>
        </is>
      </c>
      <c r="B101" s="5" t="inlineStr">
        <is>
          <t>Voice Navigation</t>
        </is>
      </c>
      <c r="C101" s="5" t="inlineStr">
        <is>
          <t>Interface action</t>
        </is>
      </c>
      <c r="D101" s="5" t="inlineStr">
        <is>
          <t>Development Team</t>
        </is>
      </c>
      <c r="E101" s="5" t="inlineStr">
        <is>
          <t>High</t>
        </is>
      </c>
      <c r="F101" s="5" t="inlineStr">
        <is>
          <t>English</t>
        </is>
      </c>
      <c r="G101" s="5" t="inlineStr">
        <is>
          <t>Quiet first; repeat failed cases with moderate noise</t>
        </is>
      </c>
      <c r="H101" s="5" t="inlineStr">
        <is>
          <t>Correct role authenticated where required; microphone enabled; voice language selected.</t>
        </is>
      </c>
      <c r="I101" s="5" t="inlineStr">
        <is>
          <t>Scroll down</t>
        </is>
      </c>
      <c r="J101" s="5" t="inlineStr">
        <is>
          <t>Speak the command once; record transcript, classification, authorization result, final UI action, feedback and latency; capture evidence for failures and sensitive commands.</t>
        </is>
      </c>
      <c r="K101" s="5" t="inlineStr">
        <is>
          <t>The page scrolls by the allowed bounded amount.</t>
        </is>
      </c>
      <c r="L101" s="5" t="inlineStr"/>
      <c r="M101" s="5" t="inlineStr"/>
      <c r="N101" s="5" t="inlineStr"/>
      <c r="O101" s="5" t="inlineStr"/>
      <c r="P101" s="10" t="inlineStr"/>
      <c r="Q101" s="11" t="inlineStr"/>
      <c r="R101" s="12" t="inlineStr"/>
      <c r="S101" s="5" t="inlineStr"/>
      <c r="T101" s="12" t="inlineStr"/>
      <c r="U101" s="5" t="inlineStr"/>
    </row>
    <row r="102">
      <c r="A102" s="4" t="inlineStr">
        <is>
          <t>VN-EN-11</t>
        </is>
      </c>
      <c r="B102" s="5" t="inlineStr">
        <is>
          <t>Voice Navigation</t>
        </is>
      </c>
      <c r="C102" s="5" t="inlineStr">
        <is>
          <t>Interface action</t>
        </is>
      </c>
      <c r="D102" s="5" t="inlineStr">
        <is>
          <t>Development Team</t>
        </is>
      </c>
      <c r="E102" s="5" t="inlineStr">
        <is>
          <t>High</t>
        </is>
      </c>
      <c r="F102" s="5" t="inlineStr">
        <is>
          <t>English</t>
        </is>
      </c>
      <c r="G102" s="5" t="inlineStr">
        <is>
          <t>Quiet first; repeat failed cases with moderate noise</t>
        </is>
      </c>
      <c r="H102" s="5" t="inlineStr">
        <is>
          <t>Correct role authenticated where required; microphone enabled; voice language selected.</t>
        </is>
      </c>
      <c r="I102" s="5" t="inlineStr">
        <is>
          <t>Clear the disability search</t>
        </is>
      </c>
      <c r="J102" s="5" t="inlineStr">
        <is>
          <t>Speak the command once; record transcript, classification, authorization result, final UI action, feedback and latency; capture evidence for failures and sensitive commands.</t>
        </is>
      </c>
      <c r="K102" s="5" t="inlineStr">
        <is>
          <t>Only the registered search field is cleared.</t>
        </is>
      </c>
      <c r="L102" s="5" t="inlineStr"/>
      <c r="M102" s="5" t="inlineStr"/>
      <c r="N102" s="5" t="inlineStr"/>
      <c r="O102" s="5" t="inlineStr"/>
      <c r="P102" s="10" t="inlineStr"/>
      <c r="Q102" s="11" t="inlineStr"/>
      <c r="R102" s="12" t="inlineStr"/>
      <c r="S102" s="5" t="inlineStr"/>
      <c r="T102" s="12" t="inlineStr"/>
      <c r="U102" s="5" t="inlineStr"/>
    </row>
    <row r="103">
      <c r="A103" s="4" t="inlineStr">
        <is>
          <t>VN-EN-12</t>
        </is>
      </c>
      <c r="B103" s="5" t="inlineStr">
        <is>
          <t>Voice Navigation</t>
        </is>
      </c>
      <c r="C103" s="5" t="inlineStr">
        <is>
          <t>Interface action</t>
        </is>
      </c>
      <c r="D103" s="5" t="inlineStr">
        <is>
          <t>Development Team</t>
        </is>
      </c>
      <c r="E103" s="5" t="inlineStr">
        <is>
          <t>High</t>
        </is>
      </c>
      <c r="F103" s="5" t="inlineStr">
        <is>
          <t>English</t>
        </is>
      </c>
      <c r="G103" s="5" t="inlineStr">
        <is>
          <t>Quiet first; repeat failed cases with moderate noise</t>
        </is>
      </c>
      <c r="H103" s="5" t="inlineStr">
        <is>
          <t>Correct role authenticated where required; microphone enabled; voice language selected.</t>
        </is>
      </c>
      <c r="I103" s="5" t="inlineStr">
        <is>
          <t>Save my profile</t>
        </is>
      </c>
      <c r="J103" s="5" t="inlineStr">
        <is>
          <t>Speak the command once; record transcript, classification, authorization result, final UI action, feedback and latency; capture evidence for failures and sensitive commands.</t>
        </is>
      </c>
      <c r="K103" s="5" t="inlineStr">
        <is>
          <t>The registered save action occurs only when validation passes.</t>
        </is>
      </c>
      <c r="L103" s="5" t="inlineStr"/>
      <c r="M103" s="5" t="inlineStr"/>
      <c r="N103" s="5" t="inlineStr"/>
      <c r="O103" s="5" t="inlineStr"/>
      <c r="P103" s="10" t="inlineStr"/>
      <c r="Q103" s="11" t="inlineStr"/>
      <c r="R103" s="12" t="inlineStr"/>
      <c r="S103" s="5" t="inlineStr"/>
      <c r="T103" s="12" t="inlineStr"/>
      <c r="U103" s="5" t="inlineStr"/>
    </row>
    <row r="104">
      <c r="A104" s="4" t="inlineStr">
        <is>
          <t>VN-EN-13</t>
        </is>
      </c>
      <c r="B104" s="5" t="inlineStr">
        <is>
          <t>Voice Navigation</t>
        </is>
      </c>
      <c r="C104" s="5" t="inlineStr">
        <is>
          <t>Page question</t>
        </is>
      </c>
      <c r="D104" s="5" t="inlineStr">
        <is>
          <t>Development Team</t>
        </is>
      </c>
      <c r="E104" s="5" t="inlineStr">
        <is>
          <t>High</t>
        </is>
      </c>
      <c r="F104" s="5" t="inlineStr">
        <is>
          <t>English</t>
        </is>
      </c>
      <c r="G104" s="5" t="inlineStr">
        <is>
          <t>Quiet first; repeat failed cases with moderate noise</t>
        </is>
      </c>
      <c r="H104" s="5" t="inlineStr">
        <is>
          <t>Correct role authenticated where required; microphone enabled; voice language selected.</t>
        </is>
      </c>
      <c r="I104" s="5" t="inlineStr">
        <is>
          <t>What is this page for?</t>
        </is>
      </c>
      <c r="J104" s="5" t="inlineStr">
        <is>
          <t>Speak the command once; record transcript, classification, authorization result, final UI action, feedback and latency; capture evidence for failures and sensitive commands.</t>
        </is>
      </c>
      <c r="K104" s="5" t="inlineStr">
        <is>
          <t>A grounded answer describes only the current page.</t>
        </is>
      </c>
      <c r="L104" s="5" t="inlineStr"/>
      <c r="M104" s="5" t="inlineStr"/>
      <c r="N104" s="5" t="inlineStr"/>
      <c r="O104" s="5" t="inlineStr"/>
      <c r="P104" s="10" t="inlineStr"/>
      <c r="Q104" s="11" t="inlineStr"/>
      <c r="R104" s="12" t="inlineStr"/>
      <c r="S104" s="5" t="inlineStr"/>
      <c r="T104" s="12" t="inlineStr"/>
      <c r="U104" s="5" t="inlineStr"/>
    </row>
    <row r="105">
      <c r="A105" s="4" t="inlineStr">
        <is>
          <t>VN-EN-14</t>
        </is>
      </c>
      <c r="B105" s="5" t="inlineStr">
        <is>
          <t>Voice Navigation</t>
        </is>
      </c>
      <c r="C105" s="5" t="inlineStr">
        <is>
          <t>Page question</t>
        </is>
      </c>
      <c r="D105" s="5" t="inlineStr">
        <is>
          <t>Development Team</t>
        </is>
      </c>
      <c r="E105" s="5" t="inlineStr">
        <is>
          <t>High</t>
        </is>
      </c>
      <c r="F105" s="5" t="inlineStr">
        <is>
          <t>English</t>
        </is>
      </c>
      <c r="G105" s="5" t="inlineStr">
        <is>
          <t>Quiet first; repeat failed cases with moderate noise</t>
        </is>
      </c>
      <c r="H105" s="5" t="inlineStr">
        <is>
          <t>Correct role authenticated where required; microphone enabled; voice language selected.</t>
        </is>
      </c>
      <c r="I105" s="5" t="inlineStr">
        <is>
          <t>Which fields are required?</t>
        </is>
      </c>
      <c r="J105" s="5" t="inlineStr">
        <is>
          <t>Speak the command once; record transcript, classification, authorization result, final UI action, feedback and latency; capture evidence for failures and sensitive commands.</t>
        </is>
      </c>
      <c r="K105" s="5" t="inlineStr">
        <is>
          <t>A grounded answer identifies the current required fields.</t>
        </is>
      </c>
      <c r="L105" s="5" t="inlineStr"/>
      <c r="M105" s="5" t="inlineStr"/>
      <c r="N105" s="5" t="inlineStr"/>
      <c r="O105" s="5" t="inlineStr"/>
      <c r="P105" s="10" t="inlineStr"/>
      <c r="Q105" s="11" t="inlineStr"/>
      <c r="R105" s="12" t="inlineStr"/>
      <c r="S105" s="5" t="inlineStr"/>
      <c r="T105" s="12" t="inlineStr"/>
      <c r="U105" s="5" t="inlineStr"/>
    </row>
    <row r="106">
      <c r="A106" s="4" t="inlineStr">
        <is>
          <t>VN-EN-15</t>
        </is>
      </c>
      <c r="B106" s="5" t="inlineStr">
        <is>
          <t>Voice Navigation</t>
        </is>
      </c>
      <c r="C106" s="5" t="inlineStr">
        <is>
          <t>Page question</t>
        </is>
      </c>
      <c r="D106" s="5" t="inlineStr">
        <is>
          <t>Development Team</t>
        </is>
      </c>
      <c r="E106" s="5" t="inlineStr">
        <is>
          <t>High</t>
        </is>
      </c>
      <c r="F106" s="5" t="inlineStr">
        <is>
          <t>English</t>
        </is>
      </c>
      <c r="G106" s="5" t="inlineStr">
        <is>
          <t>Quiet first; repeat failed cases with moderate noise</t>
        </is>
      </c>
      <c r="H106" s="5" t="inlineStr">
        <is>
          <t>Correct role authenticated where required; microphone enabled; voice language selected.</t>
        </is>
      </c>
      <c r="I106" s="5" t="inlineStr">
        <is>
          <t>How is my match score calculated?</t>
        </is>
      </c>
      <c r="J106" s="5" t="inlineStr">
        <is>
          <t>Speak the command once; record transcript, classification, authorization result, final UI action, feedback and latency; capture evidence for failures and sensitive commands.</t>
        </is>
      </c>
      <c r="K106" s="5" t="inlineStr">
        <is>
          <t>A grounded explanation is returned without inventing a score.</t>
        </is>
      </c>
      <c r="L106" s="5" t="inlineStr"/>
      <c r="M106" s="5" t="inlineStr"/>
      <c r="N106" s="5" t="inlineStr"/>
      <c r="O106" s="5" t="inlineStr"/>
      <c r="P106" s="10" t="inlineStr"/>
      <c r="Q106" s="11" t="inlineStr"/>
      <c r="R106" s="12" t="inlineStr"/>
      <c r="S106" s="5" t="inlineStr"/>
      <c r="T106" s="12" t="inlineStr"/>
      <c r="U106" s="5" t="inlineStr"/>
    </row>
    <row r="107">
      <c r="A107" s="4" t="inlineStr">
        <is>
          <t>VN-EN-16</t>
        </is>
      </c>
      <c r="B107" s="5" t="inlineStr">
        <is>
          <t>Voice Navigation</t>
        </is>
      </c>
      <c r="C107" s="5" t="inlineStr">
        <is>
          <t>Page question</t>
        </is>
      </c>
      <c r="D107" s="5" t="inlineStr">
        <is>
          <t>Development Team</t>
        </is>
      </c>
      <c r="E107" s="5" t="inlineStr">
        <is>
          <t>High</t>
        </is>
      </c>
      <c r="F107" s="5" t="inlineStr">
        <is>
          <t>English</t>
        </is>
      </c>
      <c r="G107" s="5" t="inlineStr">
        <is>
          <t>Quiet first; repeat failed cases with moderate noise</t>
        </is>
      </c>
      <c r="H107" s="5" t="inlineStr">
        <is>
          <t>Correct role authenticated where required; microphone enabled; voice language selected.</t>
        </is>
      </c>
      <c r="I107" s="5" t="inlineStr">
        <is>
          <t>Is assistance available for this job?</t>
        </is>
      </c>
      <c r="J107" s="5" t="inlineStr">
        <is>
          <t>Speak the command once; record transcript, classification, authorization result, final UI action, feedback and latency; capture evidence for failures and sensitive commands.</t>
        </is>
      </c>
      <c r="K107" s="5" t="inlineStr">
        <is>
          <t>The answer uses only visible current-job information.</t>
        </is>
      </c>
      <c r="L107" s="5" t="inlineStr"/>
      <c r="M107" s="5" t="inlineStr"/>
      <c r="N107" s="5" t="inlineStr"/>
      <c r="O107" s="5" t="inlineStr"/>
      <c r="P107" s="10" t="inlineStr"/>
      <c r="Q107" s="11" t="inlineStr"/>
      <c r="R107" s="12" t="inlineStr"/>
      <c r="S107" s="5" t="inlineStr"/>
      <c r="T107" s="12" t="inlineStr"/>
      <c r="U107" s="5" t="inlineStr"/>
    </row>
    <row r="108">
      <c r="A108" s="4" t="inlineStr">
        <is>
          <t>VN-EN-17</t>
        </is>
      </c>
      <c r="B108" s="5" t="inlineStr">
        <is>
          <t>Voice Navigation</t>
        </is>
      </c>
      <c r="C108" s="5" t="inlineStr">
        <is>
          <t>Confirmation</t>
        </is>
      </c>
      <c r="D108" s="5" t="inlineStr">
        <is>
          <t>Development Team</t>
        </is>
      </c>
      <c r="E108" s="5" t="inlineStr">
        <is>
          <t>Critical</t>
        </is>
      </c>
      <c r="F108" s="5" t="inlineStr">
        <is>
          <t>English</t>
        </is>
      </c>
      <c r="G108" s="5" t="inlineStr">
        <is>
          <t>Quiet first; repeat failed cases with moderate noise</t>
        </is>
      </c>
      <c r="H108" s="5" t="inlineStr">
        <is>
          <t>Correct role authenticated where required; microphone enabled; voice language selected.</t>
        </is>
      </c>
      <c r="I108" s="5" t="inlineStr">
        <is>
          <t>Submit my application</t>
        </is>
      </c>
      <c r="J108" s="5" t="inlineStr">
        <is>
          <t>Speak the command once; record transcript, classification, authorization result, final UI action, feedback and latency; capture evidence for failures and sensitive commands.</t>
        </is>
      </c>
      <c r="K108" s="5" t="inlineStr">
        <is>
          <t>The action waits for explicit confirmation before submission.</t>
        </is>
      </c>
      <c r="L108" s="5" t="inlineStr"/>
      <c r="M108" s="5" t="inlineStr"/>
      <c r="N108" s="5" t="inlineStr"/>
      <c r="O108" s="5" t="inlineStr"/>
      <c r="P108" s="10" t="inlineStr"/>
      <c r="Q108" s="11" t="inlineStr"/>
      <c r="R108" s="12" t="inlineStr"/>
      <c r="S108" s="5" t="inlineStr"/>
      <c r="T108" s="12" t="inlineStr"/>
      <c r="U108" s="5" t="inlineStr"/>
    </row>
    <row r="109">
      <c r="A109" s="4" t="inlineStr">
        <is>
          <t>VN-EN-18</t>
        </is>
      </c>
      <c r="B109" s="5" t="inlineStr">
        <is>
          <t>Voice Navigation</t>
        </is>
      </c>
      <c r="C109" s="5" t="inlineStr">
        <is>
          <t>Confirmation</t>
        </is>
      </c>
      <c r="D109" s="5" t="inlineStr">
        <is>
          <t>Development Team</t>
        </is>
      </c>
      <c r="E109" s="5" t="inlineStr">
        <is>
          <t>Critical</t>
        </is>
      </c>
      <c r="F109" s="5" t="inlineStr">
        <is>
          <t>English</t>
        </is>
      </c>
      <c r="G109" s="5" t="inlineStr">
        <is>
          <t>Quiet first; repeat failed cases with moderate noise</t>
        </is>
      </c>
      <c r="H109" s="5" t="inlineStr">
        <is>
          <t>Correct role authenticated where required; microphone enabled; voice language selected.</t>
        </is>
      </c>
      <c r="I109" s="5" t="inlineStr">
        <is>
          <t>Reset my profile</t>
        </is>
      </c>
      <c r="J109" s="5" t="inlineStr">
        <is>
          <t>Speak the command once; record transcript, classification, authorization result, final UI action, feedback and latency; capture evidence for failures and sensitive commands.</t>
        </is>
      </c>
      <c r="K109" s="5" t="inlineStr">
        <is>
          <t>The action waits for explicit confirmation before reset.</t>
        </is>
      </c>
      <c r="L109" s="5" t="inlineStr"/>
      <c r="M109" s="5" t="inlineStr"/>
      <c r="N109" s="5" t="inlineStr"/>
      <c r="O109" s="5" t="inlineStr"/>
      <c r="P109" s="10" t="inlineStr"/>
      <c r="Q109" s="11" t="inlineStr"/>
      <c r="R109" s="12" t="inlineStr"/>
      <c r="S109" s="5" t="inlineStr"/>
      <c r="T109" s="12" t="inlineStr"/>
      <c r="U109" s="5" t="inlineStr"/>
    </row>
    <row r="110">
      <c r="A110" s="4" t="inlineStr">
        <is>
          <t>VN-EN-19</t>
        </is>
      </c>
      <c r="B110" s="5" t="inlineStr">
        <is>
          <t>Voice Navigation</t>
        </is>
      </c>
      <c r="C110" s="5" t="inlineStr">
        <is>
          <t>Rejected</t>
        </is>
      </c>
      <c r="D110" s="5" t="inlineStr">
        <is>
          <t>Development Team</t>
        </is>
      </c>
      <c r="E110" s="5" t="inlineStr">
        <is>
          <t>Critical</t>
        </is>
      </c>
      <c r="F110" s="5" t="inlineStr">
        <is>
          <t>English</t>
        </is>
      </c>
      <c r="G110" s="5" t="inlineStr">
        <is>
          <t>Quiet first; repeat failed cases with moderate noise</t>
        </is>
      </c>
      <c r="H110" s="5" t="inlineStr">
        <is>
          <t>Correct role authenticated where required; microphone enabled; voice language selected.</t>
        </is>
      </c>
      <c r="I110" s="5" t="inlineStr">
        <is>
          <t>Delete another candidate</t>
        </is>
      </c>
      <c r="J110" s="5" t="inlineStr">
        <is>
          <t>Speak the command once; record transcript, classification, authorization result, final UI action, feedback and latency; capture evidence for failures and sensitive commands.</t>
        </is>
      </c>
      <c r="K110" s="5" t="inlineStr">
        <is>
          <t>The unauthorized command is rejected and no state changes.</t>
        </is>
      </c>
      <c r="L110" s="5" t="inlineStr"/>
      <c r="M110" s="5" t="inlineStr"/>
      <c r="N110" s="5" t="inlineStr"/>
      <c r="O110" s="5" t="inlineStr"/>
      <c r="P110" s="10" t="inlineStr"/>
      <c r="Q110" s="11" t="inlineStr"/>
      <c r="R110" s="12" t="inlineStr"/>
      <c r="S110" s="5" t="inlineStr"/>
      <c r="T110" s="12" t="inlineStr"/>
      <c r="U110" s="5" t="inlineStr"/>
    </row>
    <row r="111">
      <c r="A111" s="4" t="inlineStr">
        <is>
          <t>VN-EN-20</t>
        </is>
      </c>
      <c r="B111" s="5" t="inlineStr">
        <is>
          <t>Voice Navigation</t>
        </is>
      </c>
      <c r="C111" s="5" t="inlineStr">
        <is>
          <t>Rejected</t>
        </is>
      </c>
      <c r="D111" s="5" t="inlineStr">
        <is>
          <t>Development Team</t>
        </is>
      </c>
      <c r="E111" s="5" t="inlineStr">
        <is>
          <t>Critical</t>
        </is>
      </c>
      <c r="F111" s="5" t="inlineStr">
        <is>
          <t>English</t>
        </is>
      </c>
      <c r="G111" s="5" t="inlineStr">
        <is>
          <t>Quiet first; repeat failed cases with moderate noise</t>
        </is>
      </c>
      <c r="H111" s="5" t="inlineStr">
        <is>
          <t>Correct role authenticated where required; microphone enabled; voice language selected.</t>
        </is>
      </c>
      <c r="I111" s="5" t="inlineStr">
        <is>
          <t>Open the secret management page</t>
        </is>
      </c>
      <c r="J111" s="5" t="inlineStr">
        <is>
          <t>Speak the command once; record transcript, classification, authorization result, final UI action, feedback and latency; capture evidence for failures and sensitive commands.</t>
        </is>
      </c>
      <c r="K111" s="5" t="inlineStr">
        <is>
          <t>The unregistered destination is rejected safely.</t>
        </is>
      </c>
      <c r="L111" s="5" t="inlineStr"/>
      <c r="M111" s="5" t="inlineStr"/>
      <c r="N111" s="5" t="inlineStr"/>
      <c r="O111" s="5" t="inlineStr"/>
      <c r="P111" s="10" t="inlineStr"/>
      <c r="Q111" s="11" t="inlineStr"/>
      <c r="R111" s="12" t="inlineStr"/>
      <c r="S111" s="5" t="inlineStr"/>
      <c r="T111" s="12" t="inlineStr"/>
      <c r="U111" s="5" t="inlineStr"/>
    </row>
    <row r="112">
      <c r="A112" s="4" t="inlineStr">
        <is>
          <t>VN-FR-01</t>
        </is>
      </c>
      <c r="B112" s="5" t="inlineStr">
        <is>
          <t>Voice Navigation</t>
        </is>
      </c>
      <c r="C112" s="5" t="inlineStr">
        <is>
          <t>Navigation</t>
        </is>
      </c>
      <c r="D112" s="5" t="inlineStr">
        <is>
          <t>Development Team</t>
        </is>
      </c>
      <c r="E112" s="5" t="inlineStr">
        <is>
          <t>High</t>
        </is>
      </c>
      <c r="F112" s="5" t="inlineStr">
        <is>
          <t>French</t>
        </is>
      </c>
      <c r="G112" s="5" t="inlineStr">
        <is>
          <t>Quiet first; repeat failed cases with moderate noise</t>
        </is>
      </c>
      <c r="H112" s="5" t="inlineStr">
        <is>
          <t>Correct role authenticated where required; microphone enabled; voice language selected.</t>
        </is>
      </c>
      <c r="I112" s="5" t="inlineStr">
        <is>
          <t>Ouvre les offres</t>
        </is>
      </c>
      <c r="J112" s="5" t="inlineStr">
        <is>
          <t>Speak the command once; record transcript, classification, authorization result, final UI action, feedback and latency; capture evidence for failures and sensitive commands.</t>
        </is>
      </c>
      <c r="K112" s="5" t="inlineStr">
        <is>
          <t>La vue des offres s’ouvre.</t>
        </is>
      </c>
      <c r="L112" s="5" t="inlineStr"/>
      <c r="M112" s="5" t="inlineStr"/>
      <c r="N112" s="5" t="inlineStr"/>
      <c r="O112" s="5" t="inlineStr"/>
      <c r="P112" s="10" t="inlineStr"/>
      <c r="Q112" s="11" t="inlineStr"/>
      <c r="R112" s="12" t="inlineStr"/>
      <c r="S112" s="5" t="inlineStr"/>
      <c r="T112" s="12" t="inlineStr"/>
      <c r="U112" s="5" t="inlineStr"/>
    </row>
    <row r="113">
      <c r="A113" s="4" t="inlineStr">
        <is>
          <t>VN-FR-02</t>
        </is>
      </c>
      <c r="B113" s="5" t="inlineStr">
        <is>
          <t>Voice Navigation</t>
        </is>
      </c>
      <c r="C113" s="5" t="inlineStr">
        <is>
          <t>Navigation</t>
        </is>
      </c>
      <c r="D113" s="5" t="inlineStr">
        <is>
          <t>Development Team</t>
        </is>
      </c>
      <c r="E113" s="5" t="inlineStr">
        <is>
          <t>High</t>
        </is>
      </c>
      <c r="F113" s="5" t="inlineStr">
        <is>
          <t>French</t>
        </is>
      </c>
      <c r="G113" s="5" t="inlineStr">
        <is>
          <t>Quiet first; repeat failed cases with moderate noise</t>
        </is>
      </c>
      <c r="H113" s="5" t="inlineStr">
        <is>
          <t>Correct role authenticated where required; microphone enabled; voice language selected.</t>
        </is>
      </c>
      <c r="I113" s="5" t="inlineStr">
        <is>
          <t>Ouvre mon profil</t>
        </is>
      </c>
      <c r="J113" s="5" t="inlineStr">
        <is>
          <t>Speak the command once; record transcript, classification, authorization result, final UI action, feedback and latency; capture evidence for failures and sensitive commands.</t>
        </is>
      </c>
      <c r="K113" s="5" t="inlineStr">
        <is>
          <t>La vue du profil candidat s’ouvre.</t>
        </is>
      </c>
      <c r="L113" s="5" t="inlineStr"/>
      <c r="M113" s="5" t="inlineStr"/>
      <c r="N113" s="5" t="inlineStr"/>
      <c r="O113" s="5" t="inlineStr"/>
      <c r="P113" s="10" t="inlineStr"/>
      <c r="Q113" s="11" t="inlineStr"/>
      <c r="R113" s="12" t="inlineStr"/>
      <c r="S113" s="5" t="inlineStr"/>
      <c r="T113" s="12" t="inlineStr"/>
      <c r="U113" s="5" t="inlineStr"/>
    </row>
    <row r="114">
      <c r="A114" s="4" t="inlineStr">
        <is>
          <t>VN-FR-03</t>
        </is>
      </c>
      <c r="B114" s="5" t="inlineStr">
        <is>
          <t>Voice Navigation</t>
        </is>
      </c>
      <c r="C114" s="5" t="inlineStr">
        <is>
          <t>Navigation</t>
        </is>
      </c>
      <c r="D114" s="5" t="inlineStr">
        <is>
          <t>Development Team</t>
        </is>
      </c>
      <c r="E114" s="5" t="inlineStr">
        <is>
          <t>High</t>
        </is>
      </c>
      <c r="F114" s="5" t="inlineStr">
        <is>
          <t>French</t>
        </is>
      </c>
      <c r="G114" s="5" t="inlineStr">
        <is>
          <t>Quiet first; repeat failed cases with moderate noise</t>
        </is>
      </c>
      <c r="H114" s="5" t="inlineStr">
        <is>
          <t>Correct role authenticated where required; microphone enabled; voice language selected.</t>
        </is>
      </c>
      <c r="I114" s="5" t="inlineStr">
        <is>
          <t>Ouvre mes candidatures</t>
        </is>
      </c>
      <c r="J114" s="5" t="inlineStr">
        <is>
          <t>Speak the command once; record transcript, classification, authorization result, final UI action, feedback and latency; capture evidence for failures and sensitive commands.</t>
        </is>
      </c>
      <c r="K114" s="5" t="inlineStr">
        <is>
          <t>La vue des candidatures s’ouvre.</t>
        </is>
      </c>
      <c r="L114" s="5" t="inlineStr"/>
      <c r="M114" s="5" t="inlineStr"/>
      <c r="N114" s="5" t="inlineStr"/>
      <c r="O114" s="5" t="inlineStr"/>
      <c r="P114" s="10" t="inlineStr"/>
      <c r="Q114" s="11" t="inlineStr"/>
      <c r="R114" s="12" t="inlineStr"/>
      <c r="S114" s="5" t="inlineStr"/>
      <c r="T114" s="12" t="inlineStr"/>
      <c r="U114" s="5" t="inlineStr"/>
    </row>
    <row r="115">
      <c r="A115" s="4" t="inlineStr">
        <is>
          <t>VN-FR-04</t>
        </is>
      </c>
      <c r="B115" s="5" t="inlineStr">
        <is>
          <t>Voice Navigation</t>
        </is>
      </c>
      <c r="C115" s="5" t="inlineStr">
        <is>
          <t>Navigation</t>
        </is>
      </c>
      <c r="D115" s="5" t="inlineStr">
        <is>
          <t>Development Team</t>
        </is>
      </c>
      <c r="E115" s="5" t="inlineStr">
        <is>
          <t>High</t>
        </is>
      </c>
      <c r="F115" s="5" t="inlineStr">
        <is>
          <t>French</t>
        </is>
      </c>
      <c r="G115" s="5" t="inlineStr">
        <is>
          <t>Quiet first; repeat failed cases with moderate noise</t>
        </is>
      </c>
      <c r="H115" s="5" t="inlineStr">
        <is>
          <t>Correct role authenticated where required; microphone enabled; voice language selected.</t>
        </is>
      </c>
      <c r="I115" s="5" t="inlineStr">
        <is>
          <t>Ouvre confidentialité et données</t>
        </is>
      </c>
      <c r="J115" s="5" t="inlineStr">
        <is>
          <t>Speak the command once; record transcript, classification, authorization result, final UI action, feedback and latency; capture evidence for failures and sensitive commands.</t>
        </is>
      </c>
      <c r="K115" s="5" t="inlineStr">
        <is>
          <t>La vue Confidentialité et données s’ouvre.</t>
        </is>
      </c>
      <c r="L115" s="5" t="inlineStr"/>
      <c r="M115" s="5" t="inlineStr"/>
      <c r="N115" s="5" t="inlineStr"/>
      <c r="O115" s="5" t="inlineStr"/>
      <c r="P115" s="10" t="inlineStr"/>
      <c r="Q115" s="11" t="inlineStr"/>
      <c r="R115" s="12" t="inlineStr"/>
      <c r="S115" s="5" t="inlineStr"/>
      <c r="T115" s="12" t="inlineStr"/>
      <c r="U115" s="5" t="inlineStr"/>
    </row>
    <row r="116">
      <c r="A116" s="4" t="inlineStr">
        <is>
          <t>VN-FR-05</t>
        </is>
      </c>
      <c r="B116" s="5" t="inlineStr">
        <is>
          <t>Voice Navigation</t>
        </is>
      </c>
      <c r="C116" s="5" t="inlineStr">
        <is>
          <t>Navigation</t>
        </is>
      </c>
      <c r="D116" s="5" t="inlineStr">
        <is>
          <t>Development Team</t>
        </is>
      </c>
      <c r="E116" s="5" t="inlineStr">
        <is>
          <t>High</t>
        </is>
      </c>
      <c r="F116" s="5" t="inlineStr">
        <is>
          <t>French</t>
        </is>
      </c>
      <c r="G116" s="5" t="inlineStr">
        <is>
          <t>Quiet first; repeat failed cases with moderate noise</t>
        </is>
      </c>
      <c r="H116" s="5" t="inlineStr">
        <is>
          <t>Correct role authenticated where required; microphone enabled; voice language selected.</t>
        </is>
      </c>
      <c r="I116" s="5" t="inlineStr">
        <is>
          <t>Va à la page d’accueil</t>
        </is>
      </c>
      <c r="J116" s="5" t="inlineStr">
        <is>
          <t>Speak the command once; record transcript, classification, authorization result, final UI action, feedback and latency; capture evidence for failures and sensitive commands.</t>
        </is>
      </c>
      <c r="K116" s="5" t="inlineStr">
        <is>
          <t>La page d’accueil publique s’ouvre par une route enregistrée.</t>
        </is>
      </c>
      <c r="L116" s="5" t="inlineStr"/>
      <c r="M116" s="5" t="inlineStr"/>
      <c r="N116" s="5" t="inlineStr"/>
      <c r="O116" s="5" t="inlineStr"/>
      <c r="P116" s="10" t="inlineStr"/>
      <c r="Q116" s="11" t="inlineStr"/>
      <c r="R116" s="12" t="inlineStr"/>
      <c r="S116" s="5" t="inlineStr"/>
      <c r="T116" s="12" t="inlineStr"/>
      <c r="U116" s="5" t="inlineStr"/>
    </row>
    <row r="117">
      <c r="A117" s="4" t="inlineStr">
        <is>
          <t>VN-FR-06</t>
        </is>
      </c>
      <c r="B117" s="5" t="inlineStr">
        <is>
          <t>Voice Navigation</t>
        </is>
      </c>
      <c r="C117" s="5" t="inlineStr">
        <is>
          <t>Navigation</t>
        </is>
      </c>
      <c r="D117" s="5" t="inlineStr">
        <is>
          <t>Development Team</t>
        </is>
      </c>
      <c r="E117" s="5" t="inlineStr">
        <is>
          <t>High</t>
        </is>
      </c>
      <c r="F117" s="5" t="inlineStr">
        <is>
          <t>French</t>
        </is>
      </c>
      <c r="G117" s="5" t="inlineStr">
        <is>
          <t>Quiet first; repeat failed cases with moderate noise</t>
        </is>
      </c>
      <c r="H117" s="5" t="inlineStr">
        <is>
          <t>Correct role authenticated where required; microphone enabled; voice language selected.</t>
        </is>
      </c>
      <c r="I117" s="5" t="inlineStr">
        <is>
          <t>Ouvre l’aide de navigation vocale</t>
        </is>
      </c>
      <c r="J117" s="5" t="inlineStr">
        <is>
          <t>Speak the command once; record transcript, classification, authorization result, final UI action, feedback and latency; capture evidence for failures and sensitive commands.</t>
        </is>
      </c>
      <c r="K117" s="5" t="inlineStr">
        <is>
          <t>La page d’aide vocale enregistrée s’ouvre.</t>
        </is>
      </c>
      <c r="L117" s="5" t="inlineStr"/>
      <c r="M117" s="5" t="inlineStr"/>
      <c r="N117" s="5" t="inlineStr"/>
      <c r="O117" s="5" t="inlineStr"/>
      <c r="P117" s="10" t="inlineStr"/>
      <c r="Q117" s="11" t="inlineStr"/>
      <c r="R117" s="12" t="inlineStr"/>
      <c r="S117" s="5" t="inlineStr"/>
      <c r="T117" s="12" t="inlineStr"/>
      <c r="U117" s="5" t="inlineStr"/>
    </row>
    <row r="118">
      <c r="A118" s="4" t="inlineStr">
        <is>
          <t>VN-FR-07</t>
        </is>
      </c>
      <c r="B118" s="5" t="inlineStr">
        <is>
          <t>Voice Navigation</t>
        </is>
      </c>
      <c r="C118" s="5" t="inlineStr">
        <is>
          <t>Interface action</t>
        </is>
      </c>
      <c r="D118" s="5" t="inlineStr">
        <is>
          <t>Development Team</t>
        </is>
      </c>
      <c r="E118" s="5" t="inlineStr">
        <is>
          <t>High</t>
        </is>
      </c>
      <c r="F118" s="5" t="inlineStr">
        <is>
          <t>French</t>
        </is>
      </c>
      <c r="G118" s="5" t="inlineStr">
        <is>
          <t>Quiet first; repeat failed cases with moderate noise</t>
        </is>
      </c>
      <c r="H118" s="5" t="inlineStr">
        <is>
          <t>Correct role authenticated where required; microphone enabled; voice language selected.</t>
        </is>
      </c>
      <c r="I118" s="5" t="inlineStr">
        <is>
          <t>Sélectionne emploi et formation</t>
        </is>
      </c>
      <c r="J118" s="5" t="inlineStr">
        <is>
          <t>Speak the command once; record transcript, classification, authorization result, final UI action, feedback and latency; capture evidence for failures and sensitive commands.</t>
        </is>
      </c>
      <c r="K118" s="5" t="inlineStr">
        <is>
          <t>L’option Les deux est sélectionnée et annoncée.</t>
        </is>
      </c>
      <c r="L118" s="5" t="inlineStr"/>
      <c r="M118" s="5" t="inlineStr"/>
      <c r="N118" s="5" t="inlineStr"/>
      <c r="O118" s="5" t="inlineStr"/>
      <c r="P118" s="10" t="inlineStr"/>
      <c r="Q118" s="11" t="inlineStr"/>
      <c r="R118" s="12" t="inlineStr"/>
      <c r="S118" s="5" t="inlineStr"/>
      <c r="T118" s="12" t="inlineStr"/>
      <c r="U118" s="5" t="inlineStr"/>
    </row>
    <row r="119">
      <c r="A119" s="4" t="inlineStr">
        <is>
          <t>VN-FR-08</t>
        </is>
      </c>
      <c r="B119" s="5" t="inlineStr">
        <is>
          <t>Voice Navigation</t>
        </is>
      </c>
      <c r="C119" s="5" t="inlineStr">
        <is>
          <t>Interface action</t>
        </is>
      </c>
      <c r="D119" s="5" t="inlineStr">
        <is>
          <t>Development Team</t>
        </is>
      </c>
      <c r="E119" s="5" t="inlineStr">
        <is>
          <t>High</t>
        </is>
      </c>
      <c r="F119" s="5" t="inlineStr">
        <is>
          <t>French</t>
        </is>
      </c>
      <c r="G119" s="5" t="inlineStr">
        <is>
          <t>Quiet first; repeat failed cases with moderate noise</t>
        </is>
      </c>
      <c r="H119" s="5" t="inlineStr">
        <is>
          <t>Correct role authenticated where required; microphone enabled; voice language selected.</t>
        </is>
      </c>
      <c r="I119" s="5" t="inlineStr">
        <is>
          <t>Mets la lecture sur autonome</t>
        </is>
      </c>
      <c r="J119" s="5" t="inlineStr">
        <is>
          <t>Speak the command once; record transcript, classification, authorization result, final UI action, feedback and latency; capture evidence for failures and sensitive commands.</t>
        </is>
      </c>
      <c r="K119" s="5" t="inlineStr">
        <is>
          <t>La lecture est définie sur autonome et annoncée.</t>
        </is>
      </c>
      <c r="L119" s="5" t="inlineStr"/>
      <c r="M119" s="5" t="inlineStr"/>
      <c r="N119" s="5" t="inlineStr"/>
      <c r="O119" s="5" t="inlineStr"/>
      <c r="P119" s="10" t="inlineStr"/>
      <c r="Q119" s="11" t="inlineStr"/>
      <c r="R119" s="12" t="inlineStr"/>
      <c r="S119" s="5" t="inlineStr"/>
      <c r="T119" s="12" t="inlineStr"/>
      <c r="U119" s="5" t="inlineStr"/>
    </row>
    <row r="120">
      <c r="A120" s="4" t="inlineStr">
        <is>
          <t>VN-FR-09</t>
        </is>
      </c>
      <c r="B120" s="5" t="inlineStr">
        <is>
          <t>Voice Navigation</t>
        </is>
      </c>
      <c r="C120" s="5" t="inlineStr">
        <is>
          <t>Interface action</t>
        </is>
      </c>
      <c r="D120" s="5" t="inlineStr">
        <is>
          <t>Development Team</t>
        </is>
      </c>
      <c r="E120" s="5" t="inlineStr">
        <is>
          <t>High</t>
        </is>
      </c>
      <c r="F120" s="5" t="inlineStr">
        <is>
          <t>French</t>
        </is>
      </c>
      <c r="G120" s="5" t="inlineStr">
        <is>
          <t>Quiet first; repeat failed cases with moderate noise</t>
        </is>
      </c>
      <c r="H120" s="5" t="inlineStr">
        <is>
          <t>Correct role authenticated where required; microphone enabled; voice language selected.</t>
        </is>
      </c>
      <c r="I120" s="5" t="inlineStr">
        <is>
          <t>Choisis Caissier</t>
        </is>
      </c>
      <c r="J120" s="5" t="inlineStr">
        <is>
          <t>Speak the command once; record transcript, classification, authorization result, final UI action, feedback and latency; capture evidence for failures and sensitive commands.</t>
        </is>
      </c>
      <c r="K120" s="5" t="inlineStr">
        <is>
          <t>Le poste contrôlé Cashier est sélectionné ou ciblé.</t>
        </is>
      </c>
      <c r="L120" s="5" t="inlineStr"/>
      <c r="M120" s="5" t="inlineStr"/>
      <c r="N120" s="5" t="inlineStr"/>
      <c r="O120" s="5" t="inlineStr"/>
      <c r="P120" s="10" t="inlineStr"/>
      <c r="Q120" s="11" t="inlineStr"/>
      <c r="R120" s="12" t="inlineStr"/>
      <c r="S120" s="5" t="inlineStr"/>
      <c r="T120" s="12" t="inlineStr"/>
      <c r="U120" s="5" t="inlineStr"/>
    </row>
    <row r="121">
      <c r="A121" s="4" t="inlineStr">
        <is>
          <t>VN-FR-10</t>
        </is>
      </c>
      <c r="B121" s="5" t="inlineStr">
        <is>
          <t>Voice Navigation</t>
        </is>
      </c>
      <c r="C121" s="5" t="inlineStr">
        <is>
          <t>Interface action</t>
        </is>
      </c>
      <c r="D121" s="5" t="inlineStr">
        <is>
          <t>Development Team</t>
        </is>
      </c>
      <c r="E121" s="5" t="inlineStr">
        <is>
          <t>High</t>
        </is>
      </c>
      <c r="F121" s="5" t="inlineStr">
        <is>
          <t>French</t>
        </is>
      </c>
      <c r="G121" s="5" t="inlineStr">
        <is>
          <t>Quiet first; repeat failed cases with moderate noise</t>
        </is>
      </c>
      <c r="H121" s="5" t="inlineStr">
        <is>
          <t>Correct role authenticated where required; microphone enabled; voice language selected.</t>
        </is>
      </c>
      <c r="I121" s="5" t="inlineStr">
        <is>
          <t>Fais défiler vers le bas</t>
        </is>
      </c>
      <c r="J121" s="5" t="inlineStr">
        <is>
          <t>Speak the command once; record transcript, classification, authorization result, final UI action, feedback and latency; capture evidence for failures and sensitive commands.</t>
        </is>
      </c>
      <c r="K121" s="5" t="inlineStr">
        <is>
          <t>La page défile de la quantité autorisée.</t>
        </is>
      </c>
      <c r="L121" s="5" t="inlineStr"/>
      <c r="M121" s="5" t="inlineStr"/>
      <c r="N121" s="5" t="inlineStr"/>
      <c r="O121" s="5" t="inlineStr"/>
      <c r="P121" s="10" t="inlineStr"/>
      <c r="Q121" s="11" t="inlineStr"/>
      <c r="R121" s="12" t="inlineStr"/>
      <c r="S121" s="5" t="inlineStr"/>
      <c r="T121" s="12" t="inlineStr"/>
      <c r="U121" s="5" t="inlineStr"/>
    </row>
    <row r="122">
      <c r="A122" s="4" t="inlineStr">
        <is>
          <t>VN-FR-11</t>
        </is>
      </c>
      <c r="B122" s="5" t="inlineStr">
        <is>
          <t>Voice Navigation</t>
        </is>
      </c>
      <c r="C122" s="5" t="inlineStr">
        <is>
          <t>Interface action</t>
        </is>
      </c>
      <c r="D122" s="5" t="inlineStr">
        <is>
          <t>Development Team</t>
        </is>
      </c>
      <c r="E122" s="5" t="inlineStr">
        <is>
          <t>High</t>
        </is>
      </c>
      <c r="F122" s="5" t="inlineStr">
        <is>
          <t>French</t>
        </is>
      </c>
      <c r="G122" s="5" t="inlineStr">
        <is>
          <t>Quiet first; repeat failed cases with moderate noise</t>
        </is>
      </c>
      <c r="H122" s="5" t="inlineStr">
        <is>
          <t>Correct role authenticated where required; microphone enabled; voice language selected.</t>
        </is>
      </c>
      <c r="I122" s="5" t="inlineStr">
        <is>
          <t>Efface la recherche de handicap</t>
        </is>
      </c>
      <c r="J122" s="5" t="inlineStr">
        <is>
          <t>Speak the command once; record transcript, classification, authorization result, final UI action, feedback and latency; capture evidence for failures and sensitive commands.</t>
        </is>
      </c>
      <c r="K122" s="5" t="inlineStr">
        <is>
          <t>Seul le champ de recherche enregistré est effacé.</t>
        </is>
      </c>
      <c r="L122" s="5" t="inlineStr"/>
      <c r="M122" s="5" t="inlineStr"/>
      <c r="N122" s="5" t="inlineStr"/>
      <c r="O122" s="5" t="inlineStr"/>
      <c r="P122" s="10" t="inlineStr"/>
      <c r="Q122" s="11" t="inlineStr"/>
      <c r="R122" s="12" t="inlineStr"/>
      <c r="S122" s="5" t="inlineStr"/>
      <c r="T122" s="12" t="inlineStr"/>
      <c r="U122" s="5" t="inlineStr"/>
    </row>
    <row r="123">
      <c r="A123" s="4" t="inlineStr">
        <is>
          <t>VN-FR-12</t>
        </is>
      </c>
      <c r="B123" s="5" t="inlineStr">
        <is>
          <t>Voice Navigation</t>
        </is>
      </c>
      <c r="C123" s="5" t="inlineStr">
        <is>
          <t>Interface action</t>
        </is>
      </c>
      <c r="D123" s="5" t="inlineStr">
        <is>
          <t>Development Team</t>
        </is>
      </c>
      <c r="E123" s="5" t="inlineStr">
        <is>
          <t>High</t>
        </is>
      </c>
      <c r="F123" s="5" t="inlineStr">
        <is>
          <t>French</t>
        </is>
      </c>
      <c r="G123" s="5" t="inlineStr">
        <is>
          <t>Quiet first; repeat failed cases with moderate noise</t>
        </is>
      </c>
      <c r="H123" s="5" t="inlineStr">
        <is>
          <t>Correct role authenticated where required; microphone enabled; voice language selected.</t>
        </is>
      </c>
      <c r="I123" s="5" t="inlineStr">
        <is>
          <t>Enregistre mon profil</t>
        </is>
      </c>
      <c r="J123" s="5" t="inlineStr">
        <is>
          <t>Speak the command once; record transcript, classification, authorization result, final UI action, feedback and latency; capture evidence for failures and sensitive commands.</t>
        </is>
      </c>
      <c r="K123" s="5" t="inlineStr">
        <is>
          <t>L’action enregistrée se produit uniquement si la validation réussit.</t>
        </is>
      </c>
      <c r="L123" s="5" t="inlineStr"/>
      <c r="M123" s="5" t="inlineStr"/>
      <c r="N123" s="5" t="inlineStr"/>
      <c r="O123" s="5" t="inlineStr"/>
      <c r="P123" s="10" t="inlineStr"/>
      <c r="Q123" s="11" t="inlineStr"/>
      <c r="R123" s="12" t="inlineStr"/>
      <c r="S123" s="5" t="inlineStr"/>
      <c r="T123" s="12" t="inlineStr"/>
      <c r="U123" s="5" t="inlineStr"/>
    </row>
    <row r="124">
      <c r="A124" s="4" t="inlineStr">
        <is>
          <t>VN-FR-13</t>
        </is>
      </c>
      <c r="B124" s="5" t="inlineStr">
        <is>
          <t>Voice Navigation</t>
        </is>
      </c>
      <c r="C124" s="5" t="inlineStr">
        <is>
          <t>Page question</t>
        </is>
      </c>
      <c r="D124" s="5" t="inlineStr">
        <is>
          <t>Development Team</t>
        </is>
      </c>
      <c r="E124" s="5" t="inlineStr">
        <is>
          <t>High</t>
        </is>
      </c>
      <c r="F124" s="5" t="inlineStr">
        <is>
          <t>French</t>
        </is>
      </c>
      <c r="G124" s="5" t="inlineStr">
        <is>
          <t>Quiet first; repeat failed cases with moderate noise</t>
        </is>
      </c>
      <c r="H124" s="5" t="inlineStr">
        <is>
          <t>Correct role authenticated where required; microphone enabled; voice language selected.</t>
        </is>
      </c>
      <c r="I124" s="5" t="inlineStr">
        <is>
          <t>À quoi sert cette page ?</t>
        </is>
      </c>
      <c r="J124" s="5" t="inlineStr">
        <is>
          <t>Speak the command once; record transcript, classification, authorization result, final UI action, feedback and latency; capture evidence for failures and sensitive commands.</t>
        </is>
      </c>
      <c r="K124" s="5" t="inlineStr">
        <is>
          <t>Une réponse fondée décrit uniquement la page actuelle.</t>
        </is>
      </c>
      <c r="L124" s="5" t="inlineStr"/>
      <c r="M124" s="5" t="inlineStr"/>
      <c r="N124" s="5" t="inlineStr"/>
      <c r="O124" s="5" t="inlineStr"/>
      <c r="P124" s="10" t="inlineStr"/>
      <c r="Q124" s="11" t="inlineStr"/>
      <c r="R124" s="12" t="inlineStr"/>
      <c r="S124" s="5" t="inlineStr"/>
      <c r="T124" s="12" t="inlineStr"/>
      <c r="U124" s="5" t="inlineStr"/>
    </row>
    <row r="125">
      <c r="A125" s="4" t="inlineStr">
        <is>
          <t>VN-FR-14</t>
        </is>
      </c>
      <c r="B125" s="5" t="inlineStr">
        <is>
          <t>Voice Navigation</t>
        </is>
      </c>
      <c r="C125" s="5" t="inlineStr">
        <is>
          <t>Page question</t>
        </is>
      </c>
      <c r="D125" s="5" t="inlineStr">
        <is>
          <t>Development Team</t>
        </is>
      </c>
      <c r="E125" s="5" t="inlineStr">
        <is>
          <t>High</t>
        </is>
      </c>
      <c r="F125" s="5" t="inlineStr">
        <is>
          <t>French</t>
        </is>
      </c>
      <c r="G125" s="5" t="inlineStr">
        <is>
          <t>Quiet first; repeat failed cases with moderate noise</t>
        </is>
      </c>
      <c r="H125" s="5" t="inlineStr">
        <is>
          <t>Correct role authenticated where required; microphone enabled; voice language selected.</t>
        </is>
      </c>
      <c r="I125" s="5" t="inlineStr">
        <is>
          <t>Quels champs sont obligatoires ?</t>
        </is>
      </c>
      <c r="J125" s="5" t="inlineStr">
        <is>
          <t>Speak the command once; record transcript, classification, authorization result, final UI action, feedback and latency; capture evidence for failures and sensitive commands.</t>
        </is>
      </c>
      <c r="K125" s="5" t="inlineStr">
        <is>
          <t>La réponse identifie les champs obligatoires actuels.</t>
        </is>
      </c>
      <c r="L125" s="5" t="inlineStr"/>
      <c r="M125" s="5" t="inlineStr"/>
      <c r="N125" s="5" t="inlineStr"/>
      <c r="O125" s="5" t="inlineStr"/>
      <c r="P125" s="10" t="inlineStr"/>
      <c r="Q125" s="11" t="inlineStr"/>
      <c r="R125" s="12" t="inlineStr"/>
      <c r="S125" s="5" t="inlineStr"/>
      <c r="T125" s="12" t="inlineStr"/>
      <c r="U125" s="5" t="inlineStr"/>
    </row>
    <row r="126">
      <c r="A126" s="4" t="inlineStr">
        <is>
          <t>VN-FR-15</t>
        </is>
      </c>
      <c r="B126" s="5" t="inlineStr">
        <is>
          <t>Voice Navigation</t>
        </is>
      </c>
      <c r="C126" s="5" t="inlineStr">
        <is>
          <t>Page question</t>
        </is>
      </c>
      <c r="D126" s="5" t="inlineStr">
        <is>
          <t>Development Team</t>
        </is>
      </c>
      <c r="E126" s="5" t="inlineStr">
        <is>
          <t>High</t>
        </is>
      </c>
      <c r="F126" s="5" t="inlineStr">
        <is>
          <t>French</t>
        </is>
      </c>
      <c r="G126" s="5" t="inlineStr">
        <is>
          <t>Quiet first; repeat failed cases with moderate noise</t>
        </is>
      </c>
      <c r="H126" s="5" t="inlineStr">
        <is>
          <t>Correct role authenticated where required; microphone enabled; voice language selected.</t>
        </is>
      </c>
      <c r="I126" s="5" t="inlineStr">
        <is>
          <t>Comment mon score est-il calculé ?</t>
        </is>
      </c>
      <c r="J126" s="5" t="inlineStr">
        <is>
          <t>Speak the command once; record transcript, classification, authorization result, final UI action, feedback and latency; capture evidence for failures and sensitive commands.</t>
        </is>
      </c>
      <c r="K126" s="5" t="inlineStr">
        <is>
          <t>Une explication fondée est fournie sans inventer de score.</t>
        </is>
      </c>
      <c r="L126" s="5" t="inlineStr"/>
      <c r="M126" s="5" t="inlineStr"/>
      <c r="N126" s="5" t="inlineStr"/>
      <c r="O126" s="5" t="inlineStr"/>
      <c r="P126" s="10" t="inlineStr"/>
      <c r="Q126" s="11" t="inlineStr"/>
      <c r="R126" s="12" t="inlineStr"/>
      <c r="S126" s="5" t="inlineStr"/>
      <c r="T126" s="12" t="inlineStr"/>
      <c r="U126" s="5" t="inlineStr"/>
    </row>
    <row r="127">
      <c r="A127" s="4" t="inlineStr">
        <is>
          <t>VN-FR-16</t>
        </is>
      </c>
      <c r="B127" s="5" t="inlineStr">
        <is>
          <t>Voice Navigation</t>
        </is>
      </c>
      <c r="C127" s="5" t="inlineStr">
        <is>
          <t>Page question</t>
        </is>
      </c>
      <c r="D127" s="5" t="inlineStr">
        <is>
          <t>Development Team</t>
        </is>
      </c>
      <c r="E127" s="5" t="inlineStr">
        <is>
          <t>High</t>
        </is>
      </c>
      <c r="F127" s="5" t="inlineStr">
        <is>
          <t>French</t>
        </is>
      </c>
      <c r="G127" s="5" t="inlineStr">
        <is>
          <t>Quiet first; repeat failed cases with moderate noise</t>
        </is>
      </c>
      <c r="H127" s="5" t="inlineStr">
        <is>
          <t>Correct role authenticated where required; microphone enabled; voice language selected.</t>
        </is>
      </c>
      <c r="I127" s="5" t="inlineStr">
        <is>
          <t>Une assistance est-elle disponible pour ce poste ?</t>
        </is>
      </c>
      <c r="J127" s="5" t="inlineStr">
        <is>
          <t>Speak the command once; record transcript, classification, authorization result, final UI action, feedback and latency; capture evidence for failures and sensitive commands.</t>
        </is>
      </c>
      <c r="K127" s="5" t="inlineStr">
        <is>
          <t>La réponse utilise uniquement les informations visibles.</t>
        </is>
      </c>
      <c r="L127" s="5" t="inlineStr"/>
      <c r="M127" s="5" t="inlineStr"/>
      <c r="N127" s="5" t="inlineStr"/>
      <c r="O127" s="5" t="inlineStr"/>
      <c r="P127" s="10" t="inlineStr"/>
      <c r="Q127" s="11" t="inlineStr"/>
      <c r="R127" s="12" t="inlineStr"/>
      <c r="S127" s="5" t="inlineStr"/>
      <c r="T127" s="12" t="inlineStr"/>
      <c r="U127" s="5" t="inlineStr"/>
    </row>
    <row r="128">
      <c r="A128" s="4" t="inlineStr">
        <is>
          <t>VN-FR-17</t>
        </is>
      </c>
      <c r="B128" s="5" t="inlineStr">
        <is>
          <t>Voice Navigation</t>
        </is>
      </c>
      <c r="C128" s="5" t="inlineStr">
        <is>
          <t>Confirmation</t>
        </is>
      </c>
      <c r="D128" s="5" t="inlineStr">
        <is>
          <t>Development Team</t>
        </is>
      </c>
      <c r="E128" s="5" t="inlineStr">
        <is>
          <t>Critical</t>
        </is>
      </c>
      <c r="F128" s="5" t="inlineStr">
        <is>
          <t>French</t>
        </is>
      </c>
      <c r="G128" s="5" t="inlineStr">
        <is>
          <t>Quiet first; repeat failed cases with moderate noise</t>
        </is>
      </c>
      <c r="H128" s="5" t="inlineStr">
        <is>
          <t>Correct role authenticated where required; microphone enabled; voice language selected.</t>
        </is>
      </c>
      <c r="I128" s="5" t="inlineStr">
        <is>
          <t>Envoie ma candidature</t>
        </is>
      </c>
      <c r="J128" s="5" t="inlineStr">
        <is>
          <t>Speak the command once; record transcript, classification, authorization result, final UI action, feedback and latency; capture evidence for failures and sensitive commands.</t>
        </is>
      </c>
      <c r="K128" s="5" t="inlineStr">
        <is>
          <t>Une confirmation explicite est exigée avant l’envoi.</t>
        </is>
      </c>
      <c r="L128" s="5" t="inlineStr"/>
      <c r="M128" s="5" t="inlineStr"/>
      <c r="N128" s="5" t="inlineStr"/>
      <c r="O128" s="5" t="inlineStr"/>
      <c r="P128" s="10" t="inlineStr"/>
      <c r="Q128" s="11" t="inlineStr"/>
      <c r="R128" s="12" t="inlineStr"/>
      <c r="S128" s="5" t="inlineStr"/>
      <c r="T128" s="12" t="inlineStr"/>
      <c r="U128" s="5" t="inlineStr"/>
    </row>
    <row r="129">
      <c r="A129" s="4" t="inlineStr">
        <is>
          <t>VN-FR-18</t>
        </is>
      </c>
      <c r="B129" s="5" t="inlineStr">
        <is>
          <t>Voice Navigation</t>
        </is>
      </c>
      <c r="C129" s="5" t="inlineStr">
        <is>
          <t>Confirmation</t>
        </is>
      </c>
      <c r="D129" s="5" t="inlineStr">
        <is>
          <t>Development Team</t>
        </is>
      </c>
      <c r="E129" s="5" t="inlineStr">
        <is>
          <t>Critical</t>
        </is>
      </c>
      <c r="F129" s="5" t="inlineStr">
        <is>
          <t>French</t>
        </is>
      </c>
      <c r="G129" s="5" t="inlineStr">
        <is>
          <t>Quiet first; repeat failed cases with moderate noise</t>
        </is>
      </c>
      <c r="H129" s="5" t="inlineStr">
        <is>
          <t>Correct role authenticated where required; microphone enabled; voice language selected.</t>
        </is>
      </c>
      <c r="I129" s="5" t="inlineStr">
        <is>
          <t>Réinitialise mon profil</t>
        </is>
      </c>
      <c r="J129" s="5" t="inlineStr">
        <is>
          <t>Speak the command once; record transcript, classification, authorization result, final UI action, feedback and latency; capture evidence for failures and sensitive commands.</t>
        </is>
      </c>
      <c r="K129" s="5" t="inlineStr">
        <is>
          <t>Une confirmation explicite est exigée avant la réinitialisation.</t>
        </is>
      </c>
      <c r="L129" s="5" t="inlineStr"/>
      <c r="M129" s="5" t="inlineStr"/>
      <c r="N129" s="5" t="inlineStr"/>
      <c r="O129" s="5" t="inlineStr"/>
      <c r="P129" s="10" t="inlineStr"/>
      <c r="Q129" s="11" t="inlineStr"/>
      <c r="R129" s="12" t="inlineStr"/>
      <c r="S129" s="5" t="inlineStr"/>
      <c r="T129" s="12" t="inlineStr"/>
      <c r="U129" s="5" t="inlineStr"/>
    </row>
    <row r="130">
      <c r="A130" s="4" t="inlineStr">
        <is>
          <t>VN-FR-19</t>
        </is>
      </c>
      <c r="B130" s="5" t="inlineStr">
        <is>
          <t>Voice Navigation</t>
        </is>
      </c>
      <c r="C130" s="5" t="inlineStr">
        <is>
          <t>Rejected</t>
        </is>
      </c>
      <c r="D130" s="5" t="inlineStr">
        <is>
          <t>Development Team</t>
        </is>
      </c>
      <c r="E130" s="5" t="inlineStr">
        <is>
          <t>Critical</t>
        </is>
      </c>
      <c r="F130" s="5" t="inlineStr">
        <is>
          <t>French</t>
        </is>
      </c>
      <c r="G130" s="5" t="inlineStr">
        <is>
          <t>Quiet first; repeat failed cases with moderate noise</t>
        </is>
      </c>
      <c r="H130" s="5" t="inlineStr">
        <is>
          <t>Correct role authenticated where required; microphone enabled; voice language selected.</t>
        </is>
      </c>
      <c r="I130" s="5" t="inlineStr">
        <is>
          <t>Supprime un autre candidat</t>
        </is>
      </c>
      <c r="J130" s="5" t="inlineStr">
        <is>
          <t>Speak the command once; record transcript, classification, authorization result, final UI action, feedback and latency; capture evidence for failures and sensitive commands.</t>
        </is>
      </c>
      <c r="K130" s="5" t="inlineStr">
        <is>
          <t>La commande non autorisée est rejetée sans modification.</t>
        </is>
      </c>
      <c r="L130" s="5" t="inlineStr"/>
      <c r="M130" s="5" t="inlineStr"/>
      <c r="N130" s="5" t="inlineStr"/>
      <c r="O130" s="5" t="inlineStr"/>
      <c r="P130" s="10" t="inlineStr"/>
      <c r="Q130" s="11" t="inlineStr"/>
      <c r="R130" s="12" t="inlineStr"/>
      <c r="S130" s="5" t="inlineStr"/>
      <c r="T130" s="12" t="inlineStr"/>
      <c r="U130" s="5" t="inlineStr"/>
    </row>
    <row r="131">
      <c r="A131" s="4" t="inlineStr">
        <is>
          <t>VN-FR-20</t>
        </is>
      </c>
      <c r="B131" s="5" t="inlineStr">
        <is>
          <t>Voice Navigation</t>
        </is>
      </c>
      <c r="C131" s="5" t="inlineStr">
        <is>
          <t>Rejected</t>
        </is>
      </c>
      <c r="D131" s="5" t="inlineStr">
        <is>
          <t>Development Team</t>
        </is>
      </c>
      <c r="E131" s="5" t="inlineStr">
        <is>
          <t>Critical</t>
        </is>
      </c>
      <c r="F131" s="5" t="inlineStr">
        <is>
          <t>French</t>
        </is>
      </c>
      <c r="G131" s="5" t="inlineStr">
        <is>
          <t>Quiet first; repeat failed cases with moderate noise</t>
        </is>
      </c>
      <c r="H131" s="5" t="inlineStr">
        <is>
          <t>Correct role authenticated where required; microphone enabled; voice language selected.</t>
        </is>
      </c>
      <c r="I131" s="5" t="inlineStr">
        <is>
          <t>Ouvre la page secrète de gestion</t>
        </is>
      </c>
      <c r="J131" s="5" t="inlineStr">
        <is>
          <t>Speak the command once; record transcript, classification, authorization result, final UI action, feedback and latency; capture evidence for failures and sensitive commands.</t>
        </is>
      </c>
      <c r="K131" s="5" t="inlineStr">
        <is>
          <t>La destination non enregistrée est rejetée.</t>
        </is>
      </c>
      <c r="L131" s="5" t="inlineStr"/>
      <c r="M131" s="5" t="inlineStr"/>
      <c r="N131" s="5" t="inlineStr"/>
      <c r="O131" s="5" t="inlineStr"/>
      <c r="P131" s="10" t="inlineStr"/>
      <c r="Q131" s="11" t="inlineStr"/>
      <c r="R131" s="12" t="inlineStr"/>
      <c r="S131" s="5" t="inlineStr"/>
      <c r="T131" s="12" t="inlineStr"/>
      <c r="U131" s="5" t="inlineStr"/>
    </row>
    <row r="132">
      <c r="A132" s="4" t="inlineStr">
        <is>
          <t>VN-AR-01</t>
        </is>
      </c>
      <c r="B132" s="5" t="inlineStr">
        <is>
          <t>Voice Navigation</t>
        </is>
      </c>
      <c r="C132" s="5" t="inlineStr">
        <is>
          <t>Navigation</t>
        </is>
      </c>
      <c r="D132" s="5" t="inlineStr">
        <is>
          <t>Development Team</t>
        </is>
      </c>
      <c r="E132" s="5" t="inlineStr">
        <is>
          <t>High</t>
        </is>
      </c>
      <c r="F132" s="5" t="inlineStr">
        <is>
          <t>Arabic</t>
        </is>
      </c>
      <c r="G132" s="5" t="inlineStr">
        <is>
          <t>Quiet first; repeat failed cases with moderate noise</t>
        </is>
      </c>
      <c r="H132" s="5" t="inlineStr">
        <is>
          <t>Correct role authenticated where required; microphone enabled; voice language selected.</t>
        </is>
      </c>
      <c r="I132" s="5" t="inlineStr">
        <is>
          <t>افتح الوظائف</t>
        </is>
      </c>
      <c r="J132" s="5" t="inlineStr">
        <is>
          <t>Speak the command once; record transcript, classification, authorization result, final UI action, feedback and latency; capture evidence for failures and sensitive commands.</t>
        </is>
      </c>
      <c r="K132" s="5" t="inlineStr">
        <is>
          <t>تفتح صفحة الوظائف.</t>
        </is>
      </c>
      <c r="L132" s="5" t="inlineStr"/>
      <c r="M132" s="5" t="inlineStr"/>
      <c r="N132" s="5" t="inlineStr"/>
      <c r="O132" s="5" t="inlineStr"/>
      <c r="P132" s="10" t="inlineStr"/>
      <c r="Q132" s="11" t="inlineStr"/>
      <c r="R132" s="12" t="inlineStr"/>
      <c r="S132" s="5" t="inlineStr"/>
      <c r="T132" s="12" t="inlineStr"/>
      <c r="U132" s="5" t="inlineStr"/>
    </row>
    <row r="133">
      <c r="A133" s="4" t="inlineStr">
        <is>
          <t>VN-AR-02</t>
        </is>
      </c>
      <c r="B133" s="5" t="inlineStr">
        <is>
          <t>Voice Navigation</t>
        </is>
      </c>
      <c r="C133" s="5" t="inlineStr">
        <is>
          <t>Navigation</t>
        </is>
      </c>
      <c r="D133" s="5" t="inlineStr">
        <is>
          <t>Development Team</t>
        </is>
      </c>
      <c r="E133" s="5" t="inlineStr">
        <is>
          <t>High</t>
        </is>
      </c>
      <c r="F133" s="5" t="inlineStr">
        <is>
          <t>Arabic</t>
        </is>
      </c>
      <c r="G133" s="5" t="inlineStr">
        <is>
          <t>Quiet first; repeat failed cases with moderate noise</t>
        </is>
      </c>
      <c r="H133" s="5" t="inlineStr">
        <is>
          <t>Correct role authenticated where required; microphone enabled; voice language selected.</t>
        </is>
      </c>
      <c r="I133" s="5" t="inlineStr">
        <is>
          <t>افتح ملفي الشخصي</t>
        </is>
      </c>
      <c r="J133" s="5" t="inlineStr">
        <is>
          <t>Speak the command once; record transcript, classification, authorization result, final UI action, feedback and latency; capture evidence for failures and sensitive commands.</t>
        </is>
      </c>
      <c r="K133" s="5" t="inlineStr">
        <is>
          <t>تفتح صفحة ملف المرشح.</t>
        </is>
      </c>
      <c r="L133" s="5" t="inlineStr"/>
      <c r="M133" s="5" t="inlineStr"/>
      <c r="N133" s="5" t="inlineStr"/>
      <c r="O133" s="5" t="inlineStr"/>
      <c r="P133" s="10" t="inlineStr"/>
      <c r="Q133" s="11" t="inlineStr"/>
      <c r="R133" s="12" t="inlineStr"/>
      <c r="S133" s="5" t="inlineStr"/>
      <c r="T133" s="12" t="inlineStr"/>
      <c r="U133" s="5" t="inlineStr"/>
    </row>
    <row r="134">
      <c r="A134" s="4" t="inlineStr">
        <is>
          <t>VN-AR-03</t>
        </is>
      </c>
      <c r="B134" s="5" t="inlineStr">
        <is>
          <t>Voice Navigation</t>
        </is>
      </c>
      <c r="C134" s="5" t="inlineStr">
        <is>
          <t>Navigation</t>
        </is>
      </c>
      <c r="D134" s="5" t="inlineStr">
        <is>
          <t>Development Team</t>
        </is>
      </c>
      <c r="E134" s="5" t="inlineStr">
        <is>
          <t>High</t>
        </is>
      </c>
      <c r="F134" s="5" t="inlineStr">
        <is>
          <t>Arabic</t>
        </is>
      </c>
      <c r="G134" s="5" t="inlineStr">
        <is>
          <t>Quiet first; repeat failed cases with moderate noise</t>
        </is>
      </c>
      <c r="H134" s="5" t="inlineStr">
        <is>
          <t>Correct role authenticated where required; microphone enabled; voice language selected.</t>
        </is>
      </c>
      <c r="I134" s="5" t="inlineStr">
        <is>
          <t>افتح طلباتي</t>
        </is>
      </c>
      <c r="J134" s="5" t="inlineStr">
        <is>
          <t>Speak the command once; record transcript, classification, authorization result, final UI action, feedback and latency; capture evidence for failures and sensitive commands.</t>
        </is>
      </c>
      <c r="K134" s="5" t="inlineStr">
        <is>
          <t>تفتح صفحة الطلبات.</t>
        </is>
      </c>
      <c r="L134" s="5" t="inlineStr"/>
      <c r="M134" s="5" t="inlineStr"/>
      <c r="N134" s="5" t="inlineStr"/>
      <c r="O134" s="5" t="inlineStr"/>
      <c r="P134" s="10" t="inlineStr"/>
      <c r="Q134" s="11" t="inlineStr"/>
      <c r="R134" s="12" t="inlineStr"/>
      <c r="S134" s="5" t="inlineStr"/>
      <c r="T134" s="12" t="inlineStr"/>
      <c r="U134" s="5" t="inlineStr"/>
    </row>
    <row r="135">
      <c r="A135" s="4" t="inlineStr">
        <is>
          <t>VN-AR-04</t>
        </is>
      </c>
      <c r="B135" s="5" t="inlineStr">
        <is>
          <t>Voice Navigation</t>
        </is>
      </c>
      <c r="C135" s="5" t="inlineStr">
        <is>
          <t>Navigation</t>
        </is>
      </c>
      <c r="D135" s="5" t="inlineStr">
        <is>
          <t>Development Team</t>
        </is>
      </c>
      <c r="E135" s="5" t="inlineStr">
        <is>
          <t>High</t>
        </is>
      </c>
      <c r="F135" s="5" t="inlineStr">
        <is>
          <t>Arabic</t>
        </is>
      </c>
      <c r="G135" s="5" t="inlineStr">
        <is>
          <t>Quiet first; repeat failed cases with moderate noise</t>
        </is>
      </c>
      <c r="H135" s="5" t="inlineStr">
        <is>
          <t>Correct role authenticated where required; microphone enabled; voice language selected.</t>
        </is>
      </c>
      <c r="I135" s="5" t="inlineStr">
        <is>
          <t>افتح الخصوصية والبيانات</t>
        </is>
      </c>
      <c r="J135" s="5" t="inlineStr">
        <is>
          <t>Speak the command once; record transcript, classification, authorization result, final UI action, feedback and latency; capture evidence for failures and sensitive commands.</t>
        </is>
      </c>
      <c r="K135" s="5" t="inlineStr">
        <is>
          <t>تفتح صفحة الخصوصية والبيانات.</t>
        </is>
      </c>
      <c r="L135" s="5" t="inlineStr"/>
      <c r="M135" s="5" t="inlineStr"/>
      <c r="N135" s="5" t="inlineStr"/>
      <c r="O135" s="5" t="inlineStr"/>
      <c r="P135" s="10" t="inlineStr"/>
      <c r="Q135" s="11" t="inlineStr"/>
      <c r="R135" s="12" t="inlineStr"/>
      <c r="S135" s="5" t="inlineStr"/>
      <c r="T135" s="12" t="inlineStr"/>
      <c r="U135" s="5" t="inlineStr"/>
    </row>
    <row r="136">
      <c r="A136" s="4" t="inlineStr">
        <is>
          <t>VN-AR-05</t>
        </is>
      </c>
      <c r="B136" s="5" t="inlineStr">
        <is>
          <t>Voice Navigation</t>
        </is>
      </c>
      <c r="C136" s="5" t="inlineStr">
        <is>
          <t>Navigation</t>
        </is>
      </c>
      <c r="D136" s="5" t="inlineStr">
        <is>
          <t>Development Team</t>
        </is>
      </c>
      <c r="E136" s="5" t="inlineStr">
        <is>
          <t>High</t>
        </is>
      </c>
      <c r="F136" s="5" t="inlineStr">
        <is>
          <t>Arabic</t>
        </is>
      </c>
      <c r="G136" s="5" t="inlineStr">
        <is>
          <t>Quiet first; repeat failed cases with moderate noise</t>
        </is>
      </c>
      <c r="H136" s="5" t="inlineStr">
        <is>
          <t>Correct role authenticated where required; microphone enabled; voice language selected.</t>
        </is>
      </c>
      <c r="I136" s="5" t="inlineStr">
        <is>
          <t>اذهب إلى الصفحة الرئيسية</t>
        </is>
      </c>
      <c r="J136" s="5" t="inlineStr">
        <is>
          <t>Speak the command once; record transcript, classification, authorization result, final UI action, feedback and latency; capture evidence for failures and sensitive commands.</t>
        </is>
      </c>
      <c r="K136" s="5" t="inlineStr">
        <is>
          <t>تفتح الصفحة الرئيسية عبر مسار مسجل.</t>
        </is>
      </c>
      <c r="L136" s="5" t="inlineStr"/>
      <c r="M136" s="5" t="inlineStr"/>
      <c r="N136" s="5" t="inlineStr"/>
      <c r="O136" s="5" t="inlineStr"/>
      <c r="P136" s="10" t="inlineStr"/>
      <c r="Q136" s="11" t="inlineStr"/>
      <c r="R136" s="12" t="inlineStr"/>
      <c r="S136" s="5" t="inlineStr"/>
      <c r="T136" s="12" t="inlineStr"/>
      <c r="U136" s="5" t="inlineStr"/>
    </row>
    <row r="137">
      <c r="A137" s="4" t="inlineStr">
        <is>
          <t>VN-AR-06</t>
        </is>
      </c>
      <c r="B137" s="5" t="inlineStr">
        <is>
          <t>Voice Navigation</t>
        </is>
      </c>
      <c r="C137" s="5" t="inlineStr">
        <is>
          <t>Navigation</t>
        </is>
      </c>
      <c r="D137" s="5" t="inlineStr">
        <is>
          <t>Development Team</t>
        </is>
      </c>
      <c r="E137" s="5" t="inlineStr">
        <is>
          <t>High</t>
        </is>
      </c>
      <c r="F137" s="5" t="inlineStr">
        <is>
          <t>Arabic</t>
        </is>
      </c>
      <c r="G137" s="5" t="inlineStr">
        <is>
          <t>Quiet first; repeat failed cases with moderate noise</t>
        </is>
      </c>
      <c r="H137" s="5" t="inlineStr">
        <is>
          <t>Correct role authenticated where required; microphone enabled; voice language selected.</t>
        </is>
      </c>
      <c r="I137" s="5" t="inlineStr">
        <is>
          <t>افتح مساعدة التنقل الصوتي</t>
        </is>
      </c>
      <c r="J137" s="5" t="inlineStr">
        <is>
          <t>Speak the command once; record transcript, classification, authorization result, final UI action, feedback and latency; capture evidence for failures and sensitive commands.</t>
        </is>
      </c>
      <c r="K137" s="5" t="inlineStr">
        <is>
          <t>تفتح صفحة مساعدة الصوت المسجلة.</t>
        </is>
      </c>
      <c r="L137" s="5" t="inlineStr"/>
      <c r="M137" s="5" t="inlineStr"/>
      <c r="N137" s="5" t="inlineStr"/>
      <c r="O137" s="5" t="inlineStr"/>
      <c r="P137" s="10" t="inlineStr"/>
      <c r="Q137" s="11" t="inlineStr"/>
      <c r="R137" s="12" t="inlineStr"/>
      <c r="S137" s="5" t="inlineStr"/>
      <c r="T137" s="12" t="inlineStr"/>
      <c r="U137" s="5" t="inlineStr"/>
    </row>
    <row r="138">
      <c r="A138" s="4" t="inlineStr">
        <is>
          <t>VN-AR-07</t>
        </is>
      </c>
      <c r="B138" s="5" t="inlineStr">
        <is>
          <t>Voice Navigation</t>
        </is>
      </c>
      <c r="C138" s="5" t="inlineStr">
        <is>
          <t>Interface action</t>
        </is>
      </c>
      <c r="D138" s="5" t="inlineStr">
        <is>
          <t>Development Team</t>
        </is>
      </c>
      <c r="E138" s="5" t="inlineStr">
        <is>
          <t>High</t>
        </is>
      </c>
      <c r="F138" s="5" t="inlineStr">
        <is>
          <t>Arabic</t>
        </is>
      </c>
      <c r="G138" s="5" t="inlineStr">
        <is>
          <t>Quiet first; repeat failed cases with moderate noise</t>
        </is>
      </c>
      <c r="H138" s="5" t="inlineStr">
        <is>
          <t>Correct role authenticated where required; microphone enabled; voice language selected.</t>
        </is>
      </c>
      <c r="I138" s="5" t="inlineStr">
        <is>
          <t>اختر العمل والتدريب</t>
        </is>
      </c>
      <c r="J138" s="5" t="inlineStr">
        <is>
          <t>Speak the command once; record transcript, classification, authorization result, final UI action, feedback and latency; capture evidence for failures and sensitive commands.</t>
        </is>
      </c>
      <c r="K138" s="5" t="inlineStr">
        <is>
          <t>يتم تحديد خيار العمل والتدريب والإعلان عنه.</t>
        </is>
      </c>
      <c r="L138" s="5" t="inlineStr"/>
      <c r="M138" s="5" t="inlineStr"/>
      <c r="N138" s="5" t="inlineStr"/>
      <c r="O138" s="5" t="inlineStr"/>
      <c r="P138" s="10" t="inlineStr"/>
      <c r="Q138" s="11" t="inlineStr"/>
      <c r="R138" s="12" t="inlineStr"/>
      <c r="S138" s="5" t="inlineStr"/>
      <c r="T138" s="12" t="inlineStr"/>
      <c r="U138" s="5" t="inlineStr"/>
    </row>
    <row r="139">
      <c r="A139" s="4" t="inlineStr">
        <is>
          <t>VN-AR-08</t>
        </is>
      </c>
      <c r="B139" s="5" t="inlineStr">
        <is>
          <t>Voice Navigation</t>
        </is>
      </c>
      <c r="C139" s="5" t="inlineStr">
        <is>
          <t>Interface action</t>
        </is>
      </c>
      <c r="D139" s="5" t="inlineStr">
        <is>
          <t>Development Team</t>
        </is>
      </c>
      <c r="E139" s="5" t="inlineStr">
        <is>
          <t>High</t>
        </is>
      </c>
      <c r="F139" s="5" t="inlineStr">
        <is>
          <t>Arabic</t>
        </is>
      </c>
      <c r="G139" s="5" t="inlineStr">
        <is>
          <t>Quiet first; repeat failed cases with moderate noise</t>
        </is>
      </c>
      <c r="H139" s="5" t="inlineStr">
        <is>
          <t>Correct role authenticated where required; microphone enabled; voice language selected.</t>
        </is>
      </c>
      <c r="I139" s="5" t="inlineStr">
        <is>
          <t>ضع القراءة على نعم باستقلالية</t>
        </is>
      </c>
      <c r="J139" s="5" t="inlineStr">
        <is>
          <t>Speak the command once; record transcript, classification, authorization result, final UI action, feedback and latency; capture evidence for failures and sensitive commands.</t>
        </is>
      </c>
      <c r="K139" s="5" t="inlineStr">
        <is>
          <t>يتم ضبط القراءة على مستقل والإعلان عنها.</t>
        </is>
      </c>
      <c r="L139" s="5" t="inlineStr"/>
      <c r="M139" s="5" t="inlineStr"/>
      <c r="N139" s="5" t="inlineStr"/>
      <c r="O139" s="5" t="inlineStr"/>
      <c r="P139" s="10" t="inlineStr"/>
      <c r="Q139" s="11" t="inlineStr"/>
      <c r="R139" s="12" t="inlineStr"/>
      <c r="S139" s="5" t="inlineStr"/>
      <c r="T139" s="12" t="inlineStr"/>
      <c r="U139" s="5" t="inlineStr"/>
    </row>
    <row r="140">
      <c r="A140" s="4" t="inlineStr">
        <is>
          <t>VN-AR-09</t>
        </is>
      </c>
      <c r="B140" s="5" t="inlineStr">
        <is>
          <t>Voice Navigation</t>
        </is>
      </c>
      <c r="C140" s="5" t="inlineStr">
        <is>
          <t>Interface action</t>
        </is>
      </c>
      <c r="D140" s="5" t="inlineStr">
        <is>
          <t>Development Team</t>
        </is>
      </c>
      <c r="E140" s="5" t="inlineStr">
        <is>
          <t>High</t>
        </is>
      </c>
      <c r="F140" s="5" t="inlineStr">
        <is>
          <t>Arabic</t>
        </is>
      </c>
      <c r="G140" s="5" t="inlineStr">
        <is>
          <t>Quiet first; repeat failed cases with moderate noise</t>
        </is>
      </c>
      <c r="H140" s="5" t="inlineStr">
        <is>
          <t>Correct role authenticated where required; microphone enabled; voice language selected.</t>
        </is>
      </c>
      <c r="I140" s="5" t="inlineStr">
        <is>
          <t>اختر كاشير</t>
        </is>
      </c>
      <c r="J140" s="5" t="inlineStr">
        <is>
          <t>Speak the command once; record transcript, classification, authorization result, final UI action, feedback and latency; capture evidence for failures and sensitive commands.</t>
        </is>
      </c>
      <c r="K140" s="5" t="inlineStr">
        <is>
          <t>يتم تحديد أو تركيز وظيفة Cashier المضبوطة.</t>
        </is>
      </c>
      <c r="L140" s="5" t="inlineStr"/>
      <c r="M140" s="5" t="inlineStr"/>
      <c r="N140" s="5" t="inlineStr"/>
      <c r="O140" s="5" t="inlineStr"/>
      <c r="P140" s="10" t="inlineStr"/>
      <c r="Q140" s="11" t="inlineStr"/>
      <c r="R140" s="12" t="inlineStr"/>
      <c r="S140" s="5" t="inlineStr"/>
      <c r="T140" s="12" t="inlineStr"/>
      <c r="U140" s="5" t="inlineStr"/>
    </row>
    <row r="141">
      <c r="A141" s="4" t="inlineStr">
        <is>
          <t>VN-AR-10</t>
        </is>
      </c>
      <c r="B141" s="5" t="inlineStr">
        <is>
          <t>Voice Navigation</t>
        </is>
      </c>
      <c r="C141" s="5" t="inlineStr">
        <is>
          <t>Interface action</t>
        </is>
      </c>
      <c r="D141" s="5" t="inlineStr">
        <is>
          <t>Development Team</t>
        </is>
      </c>
      <c r="E141" s="5" t="inlineStr">
        <is>
          <t>High</t>
        </is>
      </c>
      <c r="F141" s="5" t="inlineStr">
        <is>
          <t>Arabic</t>
        </is>
      </c>
      <c r="G141" s="5" t="inlineStr">
        <is>
          <t>Quiet first; repeat failed cases with moderate noise</t>
        </is>
      </c>
      <c r="H141" s="5" t="inlineStr">
        <is>
          <t>Correct role authenticated where required; microphone enabled; voice language selected.</t>
        </is>
      </c>
      <c r="I141" s="5" t="inlineStr">
        <is>
          <t>انزل إلى أسفل</t>
        </is>
      </c>
      <c r="J141" s="5" t="inlineStr">
        <is>
          <t>Speak the command once; record transcript, classification, authorization result, final UI action, feedback and latency; capture evidence for failures and sensitive commands.</t>
        </is>
      </c>
      <c r="K141" s="5" t="inlineStr">
        <is>
          <t>يتم تمرير الصفحة بالمقدار المسموح.</t>
        </is>
      </c>
      <c r="L141" s="5" t="inlineStr"/>
      <c r="M141" s="5" t="inlineStr"/>
      <c r="N141" s="5" t="inlineStr"/>
      <c r="O141" s="5" t="inlineStr"/>
      <c r="P141" s="10" t="inlineStr"/>
      <c r="Q141" s="11" t="inlineStr"/>
      <c r="R141" s="12" t="inlineStr"/>
      <c r="S141" s="5" t="inlineStr"/>
      <c r="T141" s="12" t="inlineStr"/>
      <c r="U141" s="5" t="inlineStr"/>
    </row>
    <row r="142">
      <c r="A142" s="4" t="inlineStr">
        <is>
          <t>VN-AR-11</t>
        </is>
      </c>
      <c r="B142" s="5" t="inlineStr">
        <is>
          <t>Voice Navigation</t>
        </is>
      </c>
      <c r="C142" s="5" t="inlineStr">
        <is>
          <t>Interface action</t>
        </is>
      </c>
      <c r="D142" s="5" t="inlineStr">
        <is>
          <t>Development Team</t>
        </is>
      </c>
      <c r="E142" s="5" t="inlineStr">
        <is>
          <t>High</t>
        </is>
      </c>
      <c r="F142" s="5" t="inlineStr">
        <is>
          <t>Arabic</t>
        </is>
      </c>
      <c r="G142" s="5" t="inlineStr">
        <is>
          <t>Quiet first; repeat failed cases with moderate noise</t>
        </is>
      </c>
      <c r="H142" s="5" t="inlineStr">
        <is>
          <t>Correct role authenticated where required; microphone enabled; voice language selected.</t>
        </is>
      </c>
      <c r="I142" s="5" t="inlineStr">
        <is>
          <t>امسح بحث الإعاقة</t>
        </is>
      </c>
      <c r="J142" s="5" t="inlineStr">
        <is>
          <t>Speak the command once; record transcript, classification, authorization result, final UI action, feedback and latency; capture evidence for failures and sensitive commands.</t>
        </is>
      </c>
      <c r="K142" s="5" t="inlineStr">
        <is>
          <t>يتم مسح حقل البحث المسجل فقط.</t>
        </is>
      </c>
      <c r="L142" s="5" t="inlineStr"/>
      <c r="M142" s="5" t="inlineStr"/>
      <c r="N142" s="5" t="inlineStr"/>
      <c r="O142" s="5" t="inlineStr"/>
      <c r="P142" s="10" t="inlineStr"/>
      <c r="Q142" s="11" t="inlineStr"/>
      <c r="R142" s="12" t="inlineStr"/>
      <c r="S142" s="5" t="inlineStr"/>
      <c r="T142" s="12" t="inlineStr"/>
      <c r="U142" s="5" t="inlineStr"/>
    </row>
    <row r="143">
      <c r="A143" s="4" t="inlineStr">
        <is>
          <t>VN-AR-12</t>
        </is>
      </c>
      <c r="B143" s="5" t="inlineStr">
        <is>
          <t>Voice Navigation</t>
        </is>
      </c>
      <c r="C143" s="5" t="inlineStr">
        <is>
          <t>Interface action</t>
        </is>
      </c>
      <c r="D143" s="5" t="inlineStr">
        <is>
          <t>Development Team</t>
        </is>
      </c>
      <c r="E143" s="5" t="inlineStr">
        <is>
          <t>High</t>
        </is>
      </c>
      <c r="F143" s="5" t="inlineStr">
        <is>
          <t>Arabic</t>
        </is>
      </c>
      <c r="G143" s="5" t="inlineStr">
        <is>
          <t>Quiet first; repeat failed cases with moderate noise</t>
        </is>
      </c>
      <c r="H143" s="5" t="inlineStr">
        <is>
          <t>Correct role authenticated where required; microphone enabled; voice language selected.</t>
        </is>
      </c>
      <c r="I143" s="5" t="inlineStr">
        <is>
          <t>احفظ ملفي</t>
        </is>
      </c>
      <c r="J143" s="5" t="inlineStr">
        <is>
          <t>Speak the command once; record transcript, classification, authorization result, final UI action, feedback and latency; capture evidence for failures and sensitive commands.</t>
        </is>
      </c>
      <c r="K143" s="5" t="inlineStr">
        <is>
          <t>يتم الحفظ فقط إذا نجح التحقق.</t>
        </is>
      </c>
      <c r="L143" s="5" t="inlineStr"/>
      <c r="M143" s="5" t="inlineStr"/>
      <c r="N143" s="5" t="inlineStr"/>
      <c r="O143" s="5" t="inlineStr"/>
      <c r="P143" s="10" t="inlineStr"/>
      <c r="Q143" s="11" t="inlineStr"/>
      <c r="R143" s="12" t="inlineStr"/>
      <c r="S143" s="5" t="inlineStr"/>
      <c r="T143" s="12" t="inlineStr"/>
      <c r="U143" s="5" t="inlineStr"/>
    </row>
    <row r="144">
      <c r="A144" s="4" t="inlineStr">
        <is>
          <t>VN-AR-13</t>
        </is>
      </c>
      <c r="B144" s="5" t="inlineStr">
        <is>
          <t>Voice Navigation</t>
        </is>
      </c>
      <c r="C144" s="5" t="inlineStr">
        <is>
          <t>Page question</t>
        </is>
      </c>
      <c r="D144" s="5" t="inlineStr">
        <is>
          <t>Development Team</t>
        </is>
      </c>
      <c r="E144" s="5" t="inlineStr">
        <is>
          <t>High</t>
        </is>
      </c>
      <c r="F144" s="5" t="inlineStr">
        <is>
          <t>Arabic</t>
        </is>
      </c>
      <c r="G144" s="5" t="inlineStr">
        <is>
          <t>Quiet first; repeat failed cases with moderate noise</t>
        </is>
      </c>
      <c r="H144" s="5" t="inlineStr">
        <is>
          <t>Correct role authenticated where required; microphone enabled; voice language selected.</t>
        </is>
      </c>
      <c r="I144" s="5" t="inlineStr">
        <is>
          <t>ما هدف هذه الصفحة؟</t>
        </is>
      </c>
      <c r="J144" s="5" t="inlineStr">
        <is>
          <t>Speak the command once; record transcript, classification, authorization result, final UI action, feedback and latency; capture evidence for failures and sensitive commands.</t>
        </is>
      </c>
      <c r="K144" s="5" t="inlineStr">
        <is>
          <t>تصف الإجابة الصفحة الحالية فقط.</t>
        </is>
      </c>
      <c r="L144" s="5" t="inlineStr"/>
      <c r="M144" s="5" t="inlineStr"/>
      <c r="N144" s="5" t="inlineStr"/>
      <c r="O144" s="5" t="inlineStr"/>
      <c r="P144" s="10" t="inlineStr"/>
      <c r="Q144" s="11" t="inlineStr"/>
      <c r="R144" s="12" t="inlineStr"/>
      <c r="S144" s="5" t="inlineStr"/>
      <c r="T144" s="12" t="inlineStr"/>
      <c r="U144" s="5" t="inlineStr"/>
    </row>
    <row r="145">
      <c r="A145" s="4" t="inlineStr">
        <is>
          <t>VN-AR-14</t>
        </is>
      </c>
      <c r="B145" s="5" t="inlineStr">
        <is>
          <t>Voice Navigation</t>
        </is>
      </c>
      <c r="C145" s="5" t="inlineStr">
        <is>
          <t>Page question</t>
        </is>
      </c>
      <c r="D145" s="5" t="inlineStr">
        <is>
          <t>Development Team</t>
        </is>
      </c>
      <c r="E145" s="5" t="inlineStr">
        <is>
          <t>High</t>
        </is>
      </c>
      <c r="F145" s="5" t="inlineStr">
        <is>
          <t>Arabic</t>
        </is>
      </c>
      <c r="G145" s="5" t="inlineStr">
        <is>
          <t>Quiet first; repeat failed cases with moderate noise</t>
        </is>
      </c>
      <c r="H145" s="5" t="inlineStr">
        <is>
          <t>Correct role authenticated where required; microphone enabled; voice language selected.</t>
        </is>
      </c>
      <c r="I145" s="5" t="inlineStr">
        <is>
          <t>ما هي الحقول المطلوبة؟</t>
        </is>
      </c>
      <c r="J145" s="5" t="inlineStr">
        <is>
          <t>Speak the command once; record transcript, classification, authorization result, final UI action, feedback and latency; capture evidence for failures and sensitive commands.</t>
        </is>
      </c>
      <c r="K145" s="5" t="inlineStr">
        <is>
          <t>تحدد الإجابة الحقول المطلوبة الحالية.</t>
        </is>
      </c>
      <c r="L145" s="5" t="inlineStr"/>
      <c r="M145" s="5" t="inlineStr"/>
      <c r="N145" s="5" t="inlineStr"/>
      <c r="O145" s="5" t="inlineStr"/>
      <c r="P145" s="10" t="inlineStr"/>
      <c r="Q145" s="11" t="inlineStr"/>
      <c r="R145" s="12" t="inlineStr"/>
      <c r="S145" s="5" t="inlineStr"/>
      <c r="T145" s="12" t="inlineStr"/>
      <c r="U145" s="5" t="inlineStr"/>
    </row>
    <row r="146">
      <c r="A146" s="4" t="inlineStr">
        <is>
          <t>VN-AR-15</t>
        </is>
      </c>
      <c r="B146" s="5" t="inlineStr">
        <is>
          <t>Voice Navigation</t>
        </is>
      </c>
      <c r="C146" s="5" t="inlineStr">
        <is>
          <t>Page question</t>
        </is>
      </c>
      <c r="D146" s="5" t="inlineStr">
        <is>
          <t>Development Team</t>
        </is>
      </c>
      <c r="E146" s="5" t="inlineStr">
        <is>
          <t>High</t>
        </is>
      </c>
      <c r="F146" s="5" t="inlineStr">
        <is>
          <t>Arabic</t>
        </is>
      </c>
      <c r="G146" s="5" t="inlineStr">
        <is>
          <t>Quiet first; repeat failed cases with moderate noise</t>
        </is>
      </c>
      <c r="H146" s="5" t="inlineStr">
        <is>
          <t>Correct role authenticated where required; microphone enabled; voice language selected.</t>
        </is>
      </c>
      <c r="I146" s="5" t="inlineStr">
        <is>
          <t>كيف يتم حساب نسبة المطابقة؟</t>
        </is>
      </c>
      <c r="J146" s="5" t="inlineStr">
        <is>
          <t>Speak the command once; record transcript, classification, authorization result, final UI action, feedback and latency; capture evidence for failures and sensitive commands.</t>
        </is>
      </c>
      <c r="K146" s="5" t="inlineStr">
        <is>
          <t>يتم شرح الحساب دون اختراع نتيجة.</t>
        </is>
      </c>
      <c r="L146" s="5" t="inlineStr"/>
      <c r="M146" s="5" t="inlineStr"/>
      <c r="N146" s="5" t="inlineStr"/>
      <c r="O146" s="5" t="inlineStr"/>
      <c r="P146" s="10" t="inlineStr"/>
      <c r="Q146" s="11" t="inlineStr"/>
      <c r="R146" s="12" t="inlineStr"/>
      <c r="S146" s="5" t="inlineStr"/>
      <c r="T146" s="12" t="inlineStr"/>
      <c r="U146" s="5" t="inlineStr"/>
    </row>
    <row r="147">
      <c r="A147" s="4" t="inlineStr">
        <is>
          <t>VN-AR-16</t>
        </is>
      </c>
      <c r="B147" s="5" t="inlineStr">
        <is>
          <t>Voice Navigation</t>
        </is>
      </c>
      <c r="C147" s="5" t="inlineStr">
        <is>
          <t>Page question</t>
        </is>
      </c>
      <c r="D147" s="5" t="inlineStr">
        <is>
          <t>Development Team</t>
        </is>
      </c>
      <c r="E147" s="5" t="inlineStr">
        <is>
          <t>High</t>
        </is>
      </c>
      <c r="F147" s="5" t="inlineStr">
        <is>
          <t>Arabic</t>
        </is>
      </c>
      <c r="G147" s="5" t="inlineStr">
        <is>
          <t>Quiet first; repeat failed cases with moderate noise</t>
        </is>
      </c>
      <c r="H147" s="5" t="inlineStr">
        <is>
          <t>Correct role authenticated where required; microphone enabled; voice language selected.</t>
        </is>
      </c>
      <c r="I147" s="5" t="inlineStr">
        <is>
          <t>هل توجد مساعدة لهذه الوظيفة؟</t>
        </is>
      </c>
      <c r="J147" s="5" t="inlineStr">
        <is>
          <t>Speak the command once; record transcript, classification, authorization result, final UI action, feedback and latency; capture evidence for failures and sensitive commands.</t>
        </is>
      </c>
      <c r="K147" s="5" t="inlineStr">
        <is>
          <t>تعتمد الإجابة على معلومات الوظيفة الظاهرة فقط.</t>
        </is>
      </c>
      <c r="L147" s="5" t="inlineStr"/>
      <c r="M147" s="5" t="inlineStr"/>
      <c r="N147" s="5" t="inlineStr"/>
      <c r="O147" s="5" t="inlineStr"/>
      <c r="P147" s="10" t="inlineStr"/>
      <c r="Q147" s="11" t="inlineStr"/>
      <c r="R147" s="12" t="inlineStr"/>
      <c r="S147" s="5" t="inlineStr"/>
      <c r="T147" s="12" t="inlineStr"/>
      <c r="U147" s="5" t="inlineStr"/>
    </row>
    <row r="148">
      <c r="A148" s="4" t="inlineStr">
        <is>
          <t>VN-AR-17</t>
        </is>
      </c>
      <c r="B148" s="5" t="inlineStr">
        <is>
          <t>Voice Navigation</t>
        </is>
      </c>
      <c r="C148" s="5" t="inlineStr">
        <is>
          <t>Confirmation</t>
        </is>
      </c>
      <c r="D148" s="5" t="inlineStr">
        <is>
          <t>Development Team</t>
        </is>
      </c>
      <c r="E148" s="5" t="inlineStr">
        <is>
          <t>Critical</t>
        </is>
      </c>
      <c r="F148" s="5" t="inlineStr">
        <is>
          <t>Arabic</t>
        </is>
      </c>
      <c r="G148" s="5" t="inlineStr">
        <is>
          <t>Quiet first; repeat failed cases with moderate noise</t>
        </is>
      </c>
      <c r="H148" s="5" t="inlineStr">
        <is>
          <t>Correct role authenticated where required; microphone enabled; voice language selected.</t>
        </is>
      </c>
      <c r="I148" s="5" t="inlineStr">
        <is>
          <t>أرسل طلبي</t>
        </is>
      </c>
      <c r="J148" s="5" t="inlineStr">
        <is>
          <t>Speak the command once; record transcript, classification, authorization result, final UI action, feedback and latency; capture evidence for failures and sensitive commands.</t>
        </is>
      </c>
      <c r="K148" s="5" t="inlineStr">
        <is>
          <t>ينتظر النظام تأكيداً صريحاً قبل الإرسال.</t>
        </is>
      </c>
      <c r="L148" s="5" t="inlineStr"/>
      <c r="M148" s="5" t="inlineStr"/>
      <c r="N148" s="5" t="inlineStr"/>
      <c r="O148" s="5" t="inlineStr"/>
      <c r="P148" s="10" t="inlineStr"/>
      <c r="Q148" s="11" t="inlineStr"/>
      <c r="R148" s="12" t="inlineStr"/>
      <c r="S148" s="5" t="inlineStr"/>
      <c r="T148" s="12" t="inlineStr"/>
      <c r="U148" s="5" t="inlineStr"/>
    </row>
    <row r="149">
      <c r="A149" s="4" t="inlineStr">
        <is>
          <t>VN-AR-18</t>
        </is>
      </c>
      <c r="B149" s="5" t="inlineStr">
        <is>
          <t>Voice Navigation</t>
        </is>
      </c>
      <c r="C149" s="5" t="inlineStr">
        <is>
          <t>Confirmation</t>
        </is>
      </c>
      <c r="D149" s="5" t="inlineStr">
        <is>
          <t>Development Team</t>
        </is>
      </c>
      <c r="E149" s="5" t="inlineStr">
        <is>
          <t>Critical</t>
        </is>
      </c>
      <c r="F149" s="5" t="inlineStr">
        <is>
          <t>Arabic</t>
        </is>
      </c>
      <c r="G149" s="5" t="inlineStr">
        <is>
          <t>Quiet first; repeat failed cases with moderate noise</t>
        </is>
      </c>
      <c r="H149" s="5" t="inlineStr">
        <is>
          <t>Correct role authenticated where required; microphone enabled; voice language selected.</t>
        </is>
      </c>
      <c r="I149" s="5" t="inlineStr">
        <is>
          <t>أعد ضبط ملفي</t>
        </is>
      </c>
      <c r="J149" s="5" t="inlineStr">
        <is>
          <t>Speak the command once; record transcript, classification, authorization result, final UI action, feedback and latency; capture evidence for failures and sensitive commands.</t>
        </is>
      </c>
      <c r="K149" s="5" t="inlineStr">
        <is>
          <t>ينتظر النظام تأكيداً صريحاً قبل إعادة الضبط.</t>
        </is>
      </c>
      <c r="L149" s="5" t="inlineStr"/>
      <c r="M149" s="5" t="inlineStr"/>
      <c r="N149" s="5" t="inlineStr"/>
      <c r="O149" s="5" t="inlineStr"/>
      <c r="P149" s="10" t="inlineStr"/>
      <c r="Q149" s="11" t="inlineStr"/>
      <c r="R149" s="12" t="inlineStr"/>
      <c r="S149" s="5" t="inlineStr"/>
      <c r="T149" s="12" t="inlineStr"/>
      <c r="U149" s="5" t="inlineStr"/>
    </row>
    <row r="150">
      <c r="A150" s="4" t="inlineStr">
        <is>
          <t>VN-AR-19</t>
        </is>
      </c>
      <c r="B150" s="5" t="inlineStr">
        <is>
          <t>Voice Navigation</t>
        </is>
      </c>
      <c r="C150" s="5" t="inlineStr">
        <is>
          <t>Rejected</t>
        </is>
      </c>
      <c r="D150" s="5" t="inlineStr">
        <is>
          <t>Development Team</t>
        </is>
      </c>
      <c r="E150" s="5" t="inlineStr">
        <is>
          <t>Critical</t>
        </is>
      </c>
      <c r="F150" s="5" t="inlineStr">
        <is>
          <t>Arabic</t>
        </is>
      </c>
      <c r="G150" s="5" t="inlineStr">
        <is>
          <t>Quiet first; repeat failed cases with moderate noise</t>
        </is>
      </c>
      <c r="H150" s="5" t="inlineStr">
        <is>
          <t>Correct role authenticated where required; microphone enabled; voice language selected.</t>
        </is>
      </c>
      <c r="I150" s="5" t="inlineStr">
        <is>
          <t>احذف مرشحاً آخر</t>
        </is>
      </c>
      <c r="J150" s="5" t="inlineStr">
        <is>
          <t>Speak the command once; record transcript, classification, authorization result, final UI action, feedback and latency; capture evidence for failures and sensitive commands.</t>
        </is>
      </c>
      <c r="K150" s="5" t="inlineStr">
        <is>
          <t>يتم رفض الأمر غير المصرح ولا تتغير البيانات.</t>
        </is>
      </c>
      <c r="L150" s="5" t="inlineStr"/>
      <c r="M150" s="5" t="inlineStr"/>
      <c r="N150" s="5" t="inlineStr"/>
      <c r="O150" s="5" t="inlineStr"/>
      <c r="P150" s="10" t="inlineStr"/>
      <c r="Q150" s="11" t="inlineStr"/>
      <c r="R150" s="12" t="inlineStr"/>
      <c r="S150" s="5" t="inlineStr"/>
      <c r="T150" s="12" t="inlineStr"/>
      <c r="U150" s="5" t="inlineStr"/>
    </row>
    <row r="151">
      <c r="A151" s="4" t="inlineStr">
        <is>
          <t>VN-AR-20</t>
        </is>
      </c>
      <c r="B151" s="5" t="inlineStr">
        <is>
          <t>Voice Navigation</t>
        </is>
      </c>
      <c r="C151" s="5" t="inlineStr">
        <is>
          <t>Rejected</t>
        </is>
      </c>
      <c r="D151" s="5" t="inlineStr">
        <is>
          <t>Development Team</t>
        </is>
      </c>
      <c r="E151" s="5" t="inlineStr">
        <is>
          <t>Critical</t>
        </is>
      </c>
      <c r="F151" s="5" t="inlineStr">
        <is>
          <t>Arabic</t>
        </is>
      </c>
      <c r="G151" s="5" t="inlineStr">
        <is>
          <t>Quiet first; repeat failed cases with moderate noise</t>
        </is>
      </c>
      <c r="H151" s="5" t="inlineStr">
        <is>
          <t>Correct role authenticated where required; microphone enabled; voice language selected.</t>
        </is>
      </c>
      <c r="I151" s="5" t="inlineStr">
        <is>
          <t>افتح صفحة الإدارة السرية</t>
        </is>
      </c>
      <c r="J151" s="5" t="inlineStr">
        <is>
          <t>Speak the command once; record transcript, classification, authorization result, final UI action, feedback and latency; capture evidence for failures and sensitive commands.</t>
        </is>
      </c>
      <c r="K151" s="5" t="inlineStr">
        <is>
          <t>يتم رفض الوجهة غير المسجلة بأمان.</t>
        </is>
      </c>
      <c r="L151" s="5" t="inlineStr"/>
      <c r="M151" s="5" t="inlineStr"/>
      <c r="N151" s="5" t="inlineStr"/>
      <c r="O151" s="5" t="inlineStr"/>
      <c r="P151" s="10" t="inlineStr"/>
      <c r="Q151" s="11" t="inlineStr"/>
      <c r="R151" s="12" t="inlineStr"/>
      <c r="S151" s="5" t="inlineStr"/>
      <c r="T151" s="12" t="inlineStr"/>
      <c r="U151" s="5" t="inlineStr"/>
    </row>
    <row r="152">
      <c r="A152" s="4" t="inlineStr">
        <is>
          <t>ME-01-1</t>
        </is>
      </c>
      <c r="B152" s="5" t="inlineStr">
        <is>
          <t>Matching Engine</t>
        </is>
      </c>
      <c r="C152" s="5" t="inlineStr">
        <is>
          <t>Independent</t>
        </is>
      </c>
      <c r="D152" s="5" t="inlineStr">
        <is>
          <t>Development Team</t>
        </is>
      </c>
      <c r="E152" s="5" t="inlineStr">
        <is>
          <t>Critical</t>
        </is>
      </c>
      <c r="F152" s="5" t="inlineStr">
        <is>
          <t>N/A</t>
        </is>
      </c>
      <c r="G152" s="5" t="inlineStr">
        <is>
          <t>Deterministic API test</t>
        </is>
      </c>
      <c r="H152" s="5" t="inlineStr">
        <is>
          <t>Published controlled opportunity exists for Bakery / Pastry Worker; versioned scoring rules and weights are recorded.</t>
        </is>
      </c>
      <c r="I152" s="5" t="inlineStr">
        <is>
          <t>Bakery / Pastry Worker: Candidate independently meets configured tasks and abilities.</t>
        </is>
      </c>
      <c r="J15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2" s="5" t="inlineStr">
        <is>
          <t>Displayed score equals the manual weighted oracle; eligibility passes.</t>
        </is>
      </c>
      <c r="L152" s="5" t="inlineStr">
        <is>
          <t>Validated 9 deployed offer(s): 9 eligible and 0 ineligible. Formula components, feasibility factors, explanations and the repeated deterministic response matched the independent oracle.</t>
        </is>
      </c>
      <c r="M152" s="5" t="inlineStr">
        <is>
          <t>EV-MATCH-001</t>
        </is>
      </c>
      <c r="N152" s="5" t="inlineStr">
        <is>
          <t>Pass</t>
        </is>
      </c>
      <c r="O152" s="5" t="inlineStr"/>
      <c r="P152" s="10" t="n">
        <v>4</v>
      </c>
      <c r="Q152" s="11" t="inlineStr"/>
      <c r="R152" s="12" t="n">
        <v>46275</v>
      </c>
      <c r="S152" s="5" t="inlineStr"/>
      <c r="T152" s="12" t="inlineStr"/>
      <c r="U152" s="5" t="inlineStr">
        <is>
          <t>Evaluated output case against healthy API and scoring services.</t>
        </is>
      </c>
    </row>
    <row r="153">
      <c r="A153" s="4" t="inlineStr">
        <is>
          <t>ME-01-2</t>
        </is>
      </c>
      <c r="B153" s="5" t="inlineStr">
        <is>
          <t>Matching Engine</t>
        </is>
      </c>
      <c r="C153" s="5" t="inlineStr">
        <is>
          <t>With support</t>
        </is>
      </c>
      <c r="D153" s="5" t="inlineStr">
        <is>
          <t>Development Team</t>
        </is>
      </c>
      <c r="E153" s="5" t="inlineStr">
        <is>
          <t>Critical</t>
        </is>
      </c>
      <c r="F153" s="5" t="inlineStr">
        <is>
          <t>N/A</t>
        </is>
      </c>
      <c r="G153" s="5" t="inlineStr">
        <is>
          <t>Deterministic API test</t>
        </is>
      </c>
      <c r="H153" s="5" t="inlineStr">
        <is>
          <t>Published controlled opportunity exists for Bakery / Pastry Worker; versioned scoring rules and weights are recorded.</t>
        </is>
      </c>
      <c r="I153" s="5" t="inlineStr">
        <is>
          <t>Bakery / Pastry Worker: Candidate can perform selected tasks with offered assistance.</t>
        </is>
      </c>
      <c r="J15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3" s="5" t="inlineStr">
        <is>
          <t>The 0.75 feasibility factor is applied only where support is offered; explanation matches.</t>
        </is>
      </c>
      <c r="L153" s="5" t="inlineStr">
        <is>
          <t>Validated 9 deployed offer(s): 9 eligible and 0 ineligible. Formula components, feasibility factors, explanations and the repeated deterministic response matched the independent oracle.</t>
        </is>
      </c>
      <c r="M153" s="5" t="inlineStr">
        <is>
          <t>EV-MATCH-001</t>
        </is>
      </c>
      <c r="N153" s="5" t="inlineStr">
        <is>
          <t>Pass</t>
        </is>
      </c>
      <c r="O153" s="5" t="inlineStr"/>
      <c r="P153" s="10" t="n">
        <v>3.9</v>
      </c>
      <c r="Q153" s="11" t="inlineStr"/>
      <c r="R153" s="12" t="n">
        <v>46275</v>
      </c>
      <c r="S153" s="5" t="inlineStr"/>
      <c r="T153" s="12" t="inlineStr"/>
      <c r="U153" s="5" t="inlineStr">
        <is>
          <t>Evaluated output case against healthy API and scoring services.</t>
        </is>
      </c>
    </row>
    <row r="154">
      <c r="A154" s="4" t="inlineStr">
        <is>
          <t>ME-01-3</t>
        </is>
      </c>
      <c r="B154" s="5" t="inlineStr">
        <is>
          <t>Matching Engine</t>
        </is>
      </c>
      <c r="C154" s="5" t="inlineStr">
        <is>
          <t>Ineligible gate</t>
        </is>
      </c>
      <c r="D154" s="5" t="inlineStr">
        <is>
          <t>Development Team</t>
        </is>
      </c>
      <c r="E154" s="5" t="inlineStr">
        <is>
          <t>Critical</t>
        </is>
      </c>
      <c r="F154" s="5" t="inlineStr">
        <is>
          <t>N/A</t>
        </is>
      </c>
      <c r="G154" s="5" t="inlineStr">
        <is>
          <t>Deterministic API test</t>
        </is>
      </c>
      <c r="H154" s="5" t="inlineStr">
        <is>
          <t>Published controlled opportunity exists for Bakery / Pastry Worker; versioned scoring rules and weights are recorded.</t>
        </is>
      </c>
      <c r="I154" s="5" t="inlineStr">
        <is>
          <t>Bakery / Pastry Worker: Candidate fails one configured required education/ability or mandatory unsafe-task gate.</t>
        </is>
      </c>
      <c r="J15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4" s="5" t="inlineStr">
        <is>
          <t>Eligibility fails explicitly even if other weighted components score highly.</t>
        </is>
      </c>
      <c r="L154" s="5" t="inlineStr">
        <is>
          <t>Validated 9 deployed offer(s): 8 eligible and 1 ineligible. Formula components, feasibility factors, explanations and the repeated deterministic response matched the independent oracle.</t>
        </is>
      </c>
      <c r="M154" s="5" t="inlineStr">
        <is>
          <t>EV-MATCH-001</t>
        </is>
      </c>
      <c r="N154" s="5" t="inlineStr">
        <is>
          <t>Pass</t>
        </is>
      </c>
      <c r="O154" s="5" t="inlineStr"/>
      <c r="P154" s="10" t="n">
        <v>3.6</v>
      </c>
      <c r="Q154" s="11" t="inlineStr"/>
      <c r="R154" s="12" t="n">
        <v>46275</v>
      </c>
      <c r="S154" s="5" t="inlineStr"/>
      <c r="T154" s="12" t="inlineStr"/>
      <c r="U154" s="5" t="inlineStr">
        <is>
          <t>Evaluated output case against healthy API and scoring services.</t>
        </is>
      </c>
    </row>
    <row r="155">
      <c r="A155" s="4" t="inlineStr">
        <is>
          <t>ME-02-1</t>
        </is>
      </c>
      <c r="B155" s="5" t="inlineStr">
        <is>
          <t>Matching Engine</t>
        </is>
      </c>
      <c r="C155" s="5" t="inlineStr">
        <is>
          <t>Independent</t>
        </is>
      </c>
      <c r="D155" s="5" t="inlineStr">
        <is>
          <t>Development Team</t>
        </is>
      </c>
      <c r="E155" s="5" t="inlineStr">
        <is>
          <t>Critical</t>
        </is>
      </c>
      <c r="F155" s="5" t="inlineStr">
        <is>
          <t>N/A</t>
        </is>
      </c>
      <c r="G155" s="5" t="inlineStr">
        <is>
          <t>Deterministic API test</t>
        </is>
      </c>
      <c r="H155" s="5" t="inlineStr">
        <is>
          <t>Published controlled opportunity exists for Cashier; versioned scoring rules and weights are recorded.</t>
        </is>
      </c>
      <c r="I155" s="5" t="inlineStr">
        <is>
          <t>Cashier: Candidate independently meets configured tasks and abilities.</t>
        </is>
      </c>
      <c r="J15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5" s="5" t="inlineStr">
        <is>
          <t>Displayed score equals the manual weighted oracle; eligibility passes.</t>
        </is>
      </c>
      <c r="L155" s="5" t="inlineStr">
        <is>
          <t>Validated 5 deployed offer(s): 5 eligible and 0 ineligible. Formula components, feasibility factors, explanations and the repeated deterministic response matched the independent oracle.</t>
        </is>
      </c>
      <c r="M155" s="5" t="inlineStr">
        <is>
          <t>EV-MATCH-001</t>
        </is>
      </c>
      <c r="N155" s="5" t="inlineStr">
        <is>
          <t>Pass</t>
        </is>
      </c>
      <c r="O155" s="5" t="inlineStr"/>
      <c r="P155" s="10" t="n">
        <v>1.1</v>
      </c>
      <c r="Q155" s="11" t="inlineStr"/>
      <c r="R155" s="12" t="n">
        <v>46275</v>
      </c>
      <c r="S155" s="5" t="inlineStr"/>
      <c r="T155" s="12" t="inlineStr"/>
      <c r="U155" s="5" t="inlineStr">
        <is>
          <t>Evaluated output case against healthy API and scoring services.</t>
        </is>
      </c>
    </row>
    <row r="156">
      <c r="A156" s="4" t="inlineStr">
        <is>
          <t>ME-02-2</t>
        </is>
      </c>
      <c r="B156" s="5" t="inlineStr">
        <is>
          <t>Matching Engine</t>
        </is>
      </c>
      <c r="C156" s="5" t="inlineStr">
        <is>
          <t>With support</t>
        </is>
      </c>
      <c r="D156" s="5" t="inlineStr">
        <is>
          <t>Development Team</t>
        </is>
      </c>
      <c r="E156" s="5" t="inlineStr">
        <is>
          <t>Critical</t>
        </is>
      </c>
      <c r="F156" s="5" t="inlineStr">
        <is>
          <t>N/A</t>
        </is>
      </c>
      <c r="G156" s="5" t="inlineStr">
        <is>
          <t>Deterministic API test</t>
        </is>
      </c>
      <c r="H156" s="5" t="inlineStr">
        <is>
          <t>Published controlled opportunity exists for Cashier; versioned scoring rules and weights are recorded.</t>
        </is>
      </c>
      <c r="I156" s="5" t="inlineStr">
        <is>
          <t>Cashier: Candidate can perform selected tasks with offered assistance.</t>
        </is>
      </c>
      <c r="J15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6" s="5" t="inlineStr">
        <is>
          <t>The 0.75 feasibility factor is applied only where support is offered; explanation matches.</t>
        </is>
      </c>
      <c r="L156" s="5" t="inlineStr">
        <is>
          <t>Validated 5 deployed offer(s): 3 eligible and 2 ineligible. Formula components, feasibility factors, explanations and the repeated deterministic response matched the independent oracle.</t>
        </is>
      </c>
      <c r="M156" s="5" t="inlineStr">
        <is>
          <t>EV-MATCH-001</t>
        </is>
      </c>
      <c r="N156" s="5" t="inlineStr">
        <is>
          <t>Pass</t>
        </is>
      </c>
      <c r="O156" s="5" t="inlineStr"/>
      <c r="P156" s="10" t="n">
        <v>1</v>
      </c>
      <c r="Q156" s="11" t="inlineStr"/>
      <c r="R156" s="12" t="n">
        <v>46275</v>
      </c>
      <c r="S156" s="5" t="inlineStr"/>
      <c r="T156" s="12" t="inlineStr"/>
      <c r="U156" s="5" t="inlineStr">
        <is>
          <t>Evaluated output case against healthy API and scoring services.</t>
        </is>
      </c>
    </row>
    <row r="157">
      <c r="A157" s="4" t="inlineStr">
        <is>
          <t>ME-02-3</t>
        </is>
      </c>
      <c r="B157" s="5" t="inlineStr">
        <is>
          <t>Matching Engine</t>
        </is>
      </c>
      <c r="C157" s="5" t="inlineStr">
        <is>
          <t>Ineligible gate</t>
        </is>
      </c>
      <c r="D157" s="5" t="inlineStr">
        <is>
          <t>Development Team</t>
        </is>
      </c>
      <c r="E157" s="5" t="inlineStr">
        <is>
          <t>Critical</t>
        </is>
      </c>
      <c r="F157" s="5" t="inlineStr">
        <is>
          <t>N/A</t>
        </is>
      </c>
      <c r="G157" s="5" t="inlineStr">
        <is>
          <t>Deterministic API test</t>
        </is>
      </c>
      <c r="H157" s="5" t="inlineStr">
        <is>
          <t>Published controlled opportunity exists for Cashier; versioned scoring rules and weights are recorded.</t>
        </is>
      </c>
      <c r="I157" s="5" t="inlineStr">
        <is>
          <t>Cashier: Candidate fails one configured required education/ability or mandatory unsafe-task gate.</t>
        </is>
      </c>
      <c r="J157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7" s="5" t="inlineStr">
        <is>
          <t>Eligibility fails explicitly even if other weighted components score highly.</t>
        </is>
      </c>
      <c r="L157" s="5" t="inlineStr">
        <is>
          <t>Validated 5 deployed offer(s): 0 eligible and 5 ineligible. Formula components, feasibility factors, explanations and the repeated deterministic response matched the independent oracle.</t>
        </is>
      </c>
      <c r="M157" s="5" t="inlineStr">
        <is>
          <t>EV-MATCH-001</t>
        </is>
      </c>
      <c r="N157" s="5" t="inlineStr">
        <is>
          <t>Pass</t>
        </is>
      </c>
      <c r="O157" s="5" t="inlineStr"/>
      <c r="P157" s="10" t="n">
        <v>1.1</v>
      </c>
      <c r="Q157" s="11" t="inlineStr"/>
      <c r="R157" s="12" t="n">
        <v>46275</v>
      </c>
      <c r="S157" s="5" t="inlineStr"/>
      <c r="T157" s="12" t="inlineStr"/>
      <c r="U157" s="5" t="inlineStr">
        <is>
          <t>Evaluated output case against healthy API and scoring services.</t>
        </is>
      </c>
    </row>
    <row r="158">
      <c r="A158" s="4" t="inlineStr">
        <is>
          <t>ME-03-1</t>
        </is>
      </c>
      <c r="B158" s="5" t="inlineStr">
        <is>
          <t>Matching Engine</t>
        </is>
      </c>
      <c r="C158" s="5" t="inlineStr">
        <is>
          <t>Independent</t>
        </is>
      </c>
      <c r="D158" s="5" t="inlineStr">
        <is>
          <t>Development Team</t>
        </is>
      </c>
      <c r="E158" s="5" t="inlineStr">
        <is>
          <t>Critical</t>
        </is>
      </c>
      <c r="F158" s="5" t="inlineStr">
        <is>
          <t>N/A</t>
        </is>
      </c>
      <c r="G158" s="5" t="inlineStr">
        <is>
          <t>Deterministic API test</t>
        </is>
      </c>
      <c r="H158" s="5" t="inlineStr">
        <is>
          <t>Published controlled opportunity exists for Chocolate / Confectionery Worker; versioned scoring rules and weights are recorded.</t>
        </is>
      </c>
      <c r="I158" s="5" t="inlineStr">
        <is>
          <t>Chocolate / Confectionery Worker: Candidate independently meets configured tasks and abilities.</t>
        </is>
      </c>
      <c r="J158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8" s="5" t="inlineStr">
        <is>
          <t>Displayed score equals the manual weighted oracle; eligibility passes.</t>
        </is>
      </c>
      <c r="L158" s="5" t="inlineStr">
        <is>
          <t>Validated 9 deployed offer(s): 9 eligible and 0 ineligible. Formula components, feasibility factors, explanations and the repeated deterministic response matched the independent oracle.</t>
        </is>
      </c>
      <c r="M158" s="5" t="inlineStr">
        <is>
          <t>EV-MATCH-001</t>
        </is>
      </c>
      <c r="N158" s="5" t="inlineStr">
        <is>
          <t>Pass</t>
        </is>
      </c>
      <c r="O158" s="5" t="inlineStr"/>
      <c r="P158" s="10" t="n">
        <v>1.9</v>
      </c>
      <c r="Q158" s="11" t="inlineStr"/>
      <c r="R158" s="12" t="n">
        <v>46275</v>
      </c>
      <c r="S158" s="5" t="inlineStr"/>
      <c r="T158" s="12" t="inlineStr"/>
      <c r="U158" s="5" t="inlineStr">
        <is>
          <t>Evaluated output case against healthy API and scoring services.</t>
        </is>
      </c>
    </row>
    <row r="159">
      <c r="A159" s="4" t="inlineStr">
        <is>
          <t>ME-03-2</t>
        </is>
      </c>
      <c r="B159" s="5" t="inlineStr">
        <is>
          <t>Matching Engine</t>
        </is>
      </c>
      <c r="C159" s="5" t="inlineStr">
        <is>
          <t>With support</t>
        </is>
      </c>
      <c r="D159" s="5" t="inlineStr">
        <is>
          <t>Development Team</t>
        </is>
      </c>
      <c r="E159" s="5" t="inlineStr">
        <is>
          <t>Critical</t>
        </is>
      </c>
      <c r="F159" s="5" t="inlineStr">
        <is>
          <t>N/A</t>
        </is>
      </c>
      <c r="G159" s="5" t="inlineStr">
        <is>
          <t>Deterministic API test</t>
        </is>
      </c>
      <c r="H159" s="5" t="inlineStr">
        <is>
          <t>Published controlled opportunity exists for Chocolate / Confectionery Worker; versioned scoring rules and weights are recorded.</t>
        </is>
      </c>
      <c r="I159" s="5" t="inlineStr">
        <is>
          <t>Chocolate / Confectionery Worker: Candidate can perform selected tasks with offered assistance.</t>
        </is>
      </c>
      <c r="J159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59" s="5" t="inlineStr">
        <is>
          <t>The 0.75 feasibility factor is applied only where support is offered; explanation matches.</t>
        </is>
      </c>
      <c r="L159" s="5" t="inlineStr">
        <is>
          <t>Validated 9 deployed offer(s): 9 eligible and 0 ineligible. Formula components, feasibility factors, explanations and the repeated deterministic response matched the independent oracle.</t>
        </is>
      </c>
      <c r="M159" s="5" t="inlineStr">
        <is>
          <t>EV-MATCH-001</t>
        </is>
      </c>
      <c r="N159" s="5" t="inlineStr">
        <is>
          <t>Pass</t>
        </is>
      </c>
      <c r="O159" s="5" t="inlineStr"/>
      <c r="P159" s="10" t="n">
        <v>2.2</v>
      </c>
      <c r="Q159" s="11" t="inlineStr"/>
      <c r="R159" s="12" t="n">
        <v>46275</v>
      </c>
      <c r="S159" s="5" t="inlineStr"/>
      <c r="T159" s="12" t="inlineStr"/>
      <c r="U159" s="5" t="inlineStr">
        <is>
          <t>Evaluated output case against healthy API and scoring services.</t>
        </is>
      </c>
    </row>
    <row r="160">
      <c r="A160" s="4" t="inlineStr">
        <is>
          <t>ME-03-3</t>
        </is>
      </c>
      <c r="B160" s="5" t="inlineStr">
        <is>
          <t>Matching Engine</t>
        </is>
      </c>
      <c r="C160" s="5" t="inlineStr">
        <is>
          <t>Ineligible gate</t>
        </is>
      </c>
      <c r="D160" s="5" t="inlineStr">
        <is>
          <t>Development Team</t>
        </is>
      </c>
      <c r="E160" s="5" t="inlineStr">
        <is>
          <t>Critical</t>
        </is>
      </c>
      <c r="F160" s="5" t="inlineStr">
        <is>
          <t>N/A</t>
        </is>
      </c>
      <c r="G160" s="5" t="inlineStr">
        <is>
          <t>Deterministic API test</t>
        </is>
      </c>
      <c r="H160" s="5" t="inlineStr">
        <is>
          <t>Published controlled opportunity exists for Chocolate / Confectionery Worker; versioned scoring rules and weights are recorded.</t>
        </is>
      </c>
      <c r="I160" s="5" t="inlineStr">
        <is>
          <t>Chocolate / Confectionery Worker: Candidate fails one configured required education/ability or mandatory unsafe-task gate.</t>
        </is>
      </c>
      <c r="J160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0" s="5" t="inlineStr">
        <is>
          <t>Eligibility fails explicitly even if other weighted components score highly.</t>
        </is>
      </c>
      <c r="L160" s="5" t="inlineStr">
        <is>
          <t>Validated 9 deployed offer(s): 8 eligible and 1 ineligible. Formula components, feasibility factors, explanations and the repeated deterministic response matched the independent oracle.</t>
        </is>
      </c>
      <c r="M160" s="5" t="inlineStr">
        <is>
          <t>EV-MATCH-001</t>
        </is>
      </c>
      <c r="N160" s="5" t="inlineStr">
        <is>
          <t>Pass</t>
        </is>
      </c>
      <c r="O160" s="5" t="inlineStr"/>
      <c r="P160" s="10" t="n">
        <v>2</v>
      </c>
      <c r="Q160" s="11" t="inlineStr"/>
      <c r="R160" s="12" t="n">
        <v>46275</v>
      </c>
      <c r="S160" s="5" t="inlineStr"/>
      <c r="T160" s="12" t="inlineStr"/>
      <c r="U160" s="5" t="inlineStr">
        <is>
          <t>Evaluated output case against healthy API and scoring services.</t>
        </is>
      </c>
    </row>
    <row r="161">
      <c r="A161" s="4" t="inlineStr">
        <is>
          <t>ME-04-1</t>
        </is>
      </c>
      <c r="B161" s="5" t="inlineStr">
        <is>
          <t>Matching Engine</t>
        </is>
      </c>
      <c r="C161" s="5" t="inlineStr">
        <is>
          <t>Independent</t>
        </is>
      </c>
      <c r="D161" s="5" t="inlineStr">
        <is>
          <t>Development Team</t>
        </is>
      </c>
      <c r="E161" s="5" t="inlineStr">
        <is>
          <t>Critical</t>
        </is>
      </c>
      <c r="F161" s="5" t="inlineStr">
        <is>
          <t>N/A</t>
        </is>
      </c>
      <c r="G161" s="5" t="inlineStr">
        <is>
          <t>Deterministic API test</t>
        </is>
      </c>
      <c r="H161" s="5" t="inlineStr">
        <is>
          <t>Published controlled opportunity exists for Cold Kitchen - Garde manger; versioned scoring rules and weights are recorded.</t>
        </is>
      </c>
      <c r="I161" s="5" t="inlineStr">
        <is>
          <t>Cold Kitchen - Garde manger: Candidate independently meets configured tasks and abilities.</t>
        </is>
      </c>
      <c r="J161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1" s="5" t="inlineStr">
        <is>
          <t>Displayed score equals the manual weighted oracle; eligibility passes.</t>
        </is>
      </c>
      <c r="L161" s="5" t="inlineStr">
        <is>
          <t>Validated 4 deployed offer(s): 4 eligible and 0 ineligible. Formula components, feasibility factors, explanations and the repeated deterministic response matched the independent oracle.</t>
        </is>
      </c>
      <c r="M161" s="5" t="inlineStr">
        <is>
          <t>EV-MATCH-001</t>
        </is>
      </c>
      <c r="N161" s="5" t="inlineStr">
        <is>
          <t>Pass</t>
        </is>
      </c>
      <c r="O161" s="5" t="inlineStr"/>
      <c r="P161" s="10" t="n">
        <v>1.2</v>
      </c>
      <c r="Q161" s="11" t="inlineStr"/>
      <c r="R161" s="12" t="n">
        <v>46275</v>
      </c>
      <c r="S161" s="5" t="inlineStr"/>
      <c r="T161" s="12" t="inlineStr"/>
      <c r="U161" s="5" t="inlineStr">
        <is>
          <t>Evaluated output case against healthy API and scoring services.</t>
        </is>
      </c>
    </row>
    <row r="162">
      <c r="A162" s="4" t="inlineStr">
        <is>
          <t>ME-04-2</t>
        </is>
      </c>
      <c r="B162" s="5" t="inlineStr">
        <is>
          <t>Matching Engine</t>
        </is>
      </c>
      <c r="C162" s="5" t="inlineStr">
        <is>
          <t>With support</t>
        </is>
      </c>
      <c r="D162" s="5" t="inlineStr">
        <is>
          <t>Development Team</t>
        </is>
      </c>
      <c r="E162" s="5" t="inlineStr">
        <is>
          <t>Critical</t>
        </is>
      </c>
      <c r="F162" s="5" t="inlineStr">
        <is>
          <t>N/A</t>
        </is>
      </c>
      <c r="G162" s="5" t="inlineStr">
        <is>
          <t>Deterministic API test</t>
        </is>
      </c>
      <c r="H162" s="5" t="inlineStr">
        <is>
          <t>Published controlled opportunity exists for Cold Kitchen - Garde manger; versioned scoring rules and weights are recorded.</t>
        </is>
      </c>
      <c r="I162" s="5" t="inlineStr">
        <is>
          <t>Cold Kitchen - Garde manger: Candidate can perform selected tasks with offered assistance.</t>
        </is>
      </c>
      <c r="J16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2" s="5" t="inlineStr">
        <is>
          <t>The 0.75 feasibility factor is applied only where support is offered; explanation matches.</t>
        </is>
      </c>
      <c r="L162" s="5" t="inlineStr">
        <is>
          <t>Validated 4 deployed offer(s): 3 eligible and 1 ineligible. Formula components, feasibility factors, explanations and the repeated deterministic response matched the independent oracle.</t>
        </is>
      </c>
      <c r="M162" s="5" t="inlineStr">
        <is>
          <t>EV-MATCH-001</t>
        </is>
      </c>
      <c r="N162" s="5" t="inlineStr">
        <is>
          <t>Pass</t>
        </is>
      </c>
      <c r="O162" s="5" t="inlineStr"/>
      <c r="P162" s="10" t="n">
        <v>1.2</v>
      </c>
      <c r="Q162" s="11" t="inlineStr"/>
      <c r="R162" s="12" t="n">
        <v>46275</v>
      </c>
      <c r="S162" s="5" t="inlineStr"/>
      <c r="T162" s="12" t="inlineStr"/>
      <c r="U162" s="5" t="inlineStr">
        <is>
          <t>Evaluated output case against healthy API and scoring services.</t>
        </is>
      </c>
    </row>
    <row r="163">
      <c r="A163" s="4" t="inlineStr">
        <is>
          <t>ME-04-3</t>
        </is>
      </c>
      <c r="B163" s="5" t="inlineStr">
        <is>
          <t>Matching Engine</t>
        </is>
      </c>
      <c r="C163" s="5" t="inlineStr">
        <is>
          <t>Ineligible gate</t>
        </is>
      </c>
      <c r="D163" s="5" t="inlineStr">
        <is>
          <t>Development Team</t>
        </is>
      </c>
      <c r="E163" s="5" t="inlineStr">
        <is>
          <t>Critical</t>
        </is>
      </c>
      <c r="F163" s="5" t="inlineStr">
        <is>
          <t>N/A</t>
        </is>
      </c>
      <c r="G163" s="5" t="inlineStr">
        <is>
          <t>Deterministic API test</t>
        </is>
      </c>
      <c r="H163" s="5" t="inlineStr">
        <is>
          <t>Published controlled opportunity exists for Cold Kitchen - Garde manger; versioned scoring rules and weights are recorded.</t>
        </is>
      </c>
      <c r="I163" s="5" t="inlineStr">
        <is>
          <t>Cold Kitchen - Garde manger: Candidate fails one configured required education/ability or mandatory unsafe-task gate.</t>
        </is>
      </c>
      <c r="J16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3" s="5" t="inlineStr">
        <is>
          <t>Eligibility fails explicitly even if other weighted components score highly.</t>
        </is>
      </c>
      <c r="L163" s="5" t="inlineStr">
        <is>
          <t>Validated 4 deployed offer(s): 0 eligible and 4 ineligible. Formula components, feasibility factors, explanations and the repeated deterministic response matched the independent oracle.</t>
        </is>
      </c>
      <c r="M163" s="5" t="inlineStr">
        <is>
          <t>EV-MATCH-001</t>
        </is>
      </c>
      <c r="N163" s="5" t="inlineStr">
        <is>
          <t>Pass</t>
        </is>
      </c>
      <c r="O163" s="5" t="inlineStr"/>
      <c r="P163" s="10" t="n">
        <v>1.2</v>
      </c>
      <c r="Q163" s="11" t="inlineStr"/>
      <c r="R163" s="12" t="n">
        <v>46275</v>
      </c>
      <c r="S163" s="5" t="inlineStr"/>
      <c r="T163" s="12" t="inlineStr"/>
      <c r="U163" s="5" t="inlineStr">
        <is>
          <t>Evaluated output case against healthy API and scoring services.</t>
        </is>
      </c>
    </row>
    <row r="164">
      <c r="A164" s="4" t="inlineStr">
        <is>
          <t>ME-05-1</t>
        </is>
      </c>
      <c r="B164" s="5" t="inlineStr">
        <is>
          <t>Matching Engine</t>
        </is>
      </c>
      <c r="C164" s="5" t="inlineStr">
        <is>
          <t>Independent</t>
        </is>
      </c>
      <c r="D164" s="5" t="inlineStr">
        <is>
          <t>Development Team</t>
        </is>
      </c>
      <c r="E164" s="5" t="inlineStr">
        <is>
          <t>Critical</t>
        </is>
      </c>
      <c r="F164" s="5" t="inlineStr">
        <is>
          <t>N/A</t>
        </is>
      </c>
      <c r="G164" s="5" t="inlineStr">
        <is>
          <t>Deterministic API test</t>
        </is>
      </c>
      <c r="H164" s="5" t="inlineStr">
        <is>
          <t>Published controlled opportunity exists for Cold Preparation: Butcher / Poultry; versioned scoring rules and weights are recorded.</t>
        </is>
      </c>
      <c r="I164" s="5" t="inlineStr">
        <is>
          <t>Cold Preparation: Butcher / Poultry: Candidate independently meets configured tasks and abilities.</t>
        </is>
      </c>
      <c r="J16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4" s="5" t="inlineStr">
        <is>
          <t>Displayed score equals the manual weighted oracle; eligibility passes.</t>
        </is>
      </c>
      <c r="L164" s="5" t="inlineStr">
        <is>
          <t>Validated 4 deployed offer(s): 4 eligible and 0 ineligible. Formula components, feasibility factors, explanations and the repeated deterministic response matched the independent oracle.</t>
        </is>
      </c>
      <c r="M164" s="5" t="inlineStr">
        <is>
          <t>EV-MATCH-001</t>
        </is>
      </c>
      <c r="N164" s="5" t="inlineStr">
        <is>
          <t>Pass</t>
        </is>
      </c>
      <c r="O164" s="5" t="inlineStr"/>
      <c r="P164" s="10" t="n">
        <v>1.2</v>
      </c>
      <c r="Q164" s="11" t="inlineStr"/>
      <c r="R164" s="12" t="n">
        <v>46275</v>
      </c>
      <c r="S164" s="5" t="inlineStr"/>
      <c r="T164" s="12" t="inlineStr"/>
      <c r="U164" s="5" t="inlineStr">
        <is>
          <t>Evaluated output case against healthy API and scoring services.</t>
        </is>
      </c>
    </row>
    <row r="165">
      <c r="A165" s="4" t="inlineStr">
        <is>
          <t>ME-05-2</t>
        </is>
      </c>
      <c r="B165" s="5" t="inlineStr">
        <is>
          <t>Matching Engine</t>
        </is>
      </c>
      <c r="C165" s="5" t="inlineStr">
        <is>
          <t>With support</t>
        </is>
      </c>
      <c r="D165" s="5" t="inlineStr">
        <is>
          <t>Development Team</t>
        </is>
      </c>
      <c r="E165" s="5" t="inlineStr">
        <is>
          <t>Critical</t>
        </is>
      </c>
      <c r="F165" s="5" t="inlineStr">
        <is>
          <t>N/A</t>
        </is>
      </c>
      <c r="G165" s="5" t="inlineStr">
        <is>
          <t>Deterministic API test</t>
        </is>
      </c>
      <c r="H165" s="5" t="inlineStr">
        <is>
          <t>Published controlled opportunity exists for Cold Preparation: Butcher / Poultry; versioned scoring rules and weights are recorded.</t>
        </is>
      </c>
      <c r="I165" s="5" t="inlineStr">
        <is>
          <t>Cold Preparation: Butcher / Poultry: Candidate can perform selected tasks with offered assistance.</t>
        </is>
      </c>
      <c r="J16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5" s="5" t="inlineStr">
        <is>
          <t>The 0.75 feasibility factor is applied only where support is offered; explanation matches.</t>
        </is>
      </c>
      <c r="L165" s="5" t="inlineStr">
        <is>
          <t>Validated 4 deployed offer(s): 3 eligible and 1 ineligible. Formula components, feasibility factors, explanations and the repeated deterministic response matched the independent oracle.</t>
        </is>
      </c>
      <c r="M165" s="5" t="inlineStr">
        <is>
          <t>EV-MATCH-001</t>
        </is>
      </c>
      <c r="N165" s="5" t="inlineStr">
        <is>
          <t>Pass</t>
        </is>
      </c>
      <c r="O165" s="5" t="inlineStr"/>
      <c r="P165" s="10" t="n">
        <v>1.4</v>
      </c>
      <c r="Q165" s="11" t="inlineStr"/>
      <c r="R165" s="12" t="n">
        <v>46275</v>
      </c>
      <c r="S165" s="5" t="inlineStr"/>
      <c r="T165" s="12" t="inlineStr"/>
      <c r="U165" s="5" t="inlineStr">
        <is>
          <t>Evaluated output case against healthy API and scoring services.</t>
        </is>
      </c>
    </row>
    <row r="166">
      <c r="A166" s="4" t="inlineStr">
        <is>
          <t>ME-05-3</t>
        </is>
      </c>
      <c r="B166" s="5" t="inlineStr">
        <is>
          <t>Matching Engine</t>
        </is>
      </c>
      <c r="C166" s="5" t="inlineStr">
        <is>
          <t>Ineligible gate</t>
        </is>
      </c>
      <c r="D166" s="5" t="inlineStr">
        <is>
          <t>Development Team</t>
        </is>
      </c>
      <c r="E166" s="5" t="inlineStr">
        <is>
          <t>Critical</t>
        </is>
      </c>
      <c r="F166" s="5" t="inlineStr">
        <is>
          <t>N/A</t>
        </is>
      </c>
      <c r="G166" s="5" t="inlineStr">
        <is>
          <t>Deterministic API test</t>
        </is>
      </c>
      <c r="H166" s="5" t="inlineStr">
        <is>
          <t>Published controlled opportunity exists for Cold Preparation: Butcher / Poultry; versioned scoring rules and weights are recorded.</t>
        </is>
      </c>
      <c r="I166" s="5" t="inlineStr">
        <is>
          <t>Cold Preparation: Butcher / Poultry: Candidate fails one configured required education/ability or mandatory unsafe-task gate.</t>
        </is>
      </c>
      <c r="J16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6" s="5" t="inlineStr">
        <is>
          <t>Eligibility fails explicitly even if other weighted components score highly.</t>
        </is>
      </c>
      <c r="L166" s="5" t="inlineStr">
        <is>
          <t>Validated 4 deployed offer(s): 1 eligible and 3 ineligible. Formula components, feasibility factors, explanations and the repeated deterministic response matched the independent oracle.</t>
        </is>
      </c>
      <c r="M166" s="5" t="inlineStr">
        <is>
          <t>EV-MATCH-001</t>
        </is>
      </c>
      <c r="N166" s="5" t="inlineStr">
        <is>
          <t>Pass</t>
        </is>
      </c>
      <c r="O166" s="5" t="inlineStr"/>
      <c r="P166" s="10" t="n">
        <v>1.3</v>
      </c>
      <c r="Q166" s="11" t="inlineStr"/>
      <c r="R166" s="12" t="n">
        <v>46275</v>
      </c>
      <c r="S166" s="5" t="inlineStr"/>
      <c r="T166" s="12" t="inlineStr"/>
      <c r="U166" s="5" t="inlineStr">
        <is>
          <t>Evaluated output case against healthy API and scoring services.</t>
        </is>
      </c>
    </row>
    <row r="167">
      <c r="A167" s="4" t="inlineStr">
        <is>
          <t>ME-06-1</t>
        </is>
      </c>
      <c r="B167" s="5" t="inlineStr">
        <is>
          <t>Matching Engine</t>
        </is>
      </c>
      <c r="C167" s="5" t="inlineStr">
        <is>
          <t>Independent</t>
        </is>
      </c>
      <c r="D167" s="5" t="inlineStr">
        <is>
          <t>Development Team</t>
        </is>
      </c>
      <c r="E167" s="5" t="inlineStr">
        <is>
          <t>Critical</t>
        </is>
      </c>
      <c r="F167" s="5" t="inlineStr">
        <is>
          <t>N/A</t>
        </is>
      </c>
      <c r="G167" s="5" t="inlineStr">
        <is>
          <t>Deterministic API test</t>
        </is>
      </c>
      <c r="H167" s="5" t="inlineStr">
        <is>
          <t>Published controlled opportunity exists for Fish preparation; versioned scoring rules and weights are recorded.</t>
        </is>
      </c>
      <c r="I167" s="5" t="inlineStr">
        <is>
          <t>Fish preparation: Candidate independently meets configured tasks and abilities.</t>
        </is>
      </c>
      <c r="J167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7" s="5" t="inlineStr">
        <is>
          <t>Displayed score equals the manual weighted oracle; eligibility passes.</t>
        </is>
      </c>
      <c r="L167" s="5" t="inlineStr">
        <is>
          <t>Validated 5 deployed offer(s): 5 eligible and 0 ineligible. Formula components, feasibility factors, explanations and the repeated deterministic response matched the independent oracle.</t>
        </is>
      </c>
      <c r="M167" s="5" t="inlineStr">
        <is>
          <t>EV-MATCH-001</t>
        </is>
      </c>
      <c r="N167" s="5" t="inlineStr">
        <is>
          <t>Pass</t>
        </is>
      </c>
      <c r="O167" s="5" t="inlineStr"/>
      <c r="P167" s="10" t="n">
        <v>1.4</v>
      </c>
      <c r="Q167" s="11" t="inlineStr"/>
      <c r="R167" s="12" t="n">
        <v>46275</v>
      </c>
      <c r="S167" s="5" t="inlineStr"/>
      <c r="T167" s="12" t="inlineStr"/>
      <c r="U167" s="5" t="inlineStr">
        <is>
          <t>Evaluated output case against healthy API and scoring services.</t>
        </is>
      </c>
    </row>
    <row r="168">
      <c r="A168" s="4" t="inlineStr">
        <is>
          <t>ME-06-2</t>
        </is>
      </c>
      <c r="B168" s="5" t="inlineStr">
        <is>
          <t>Matching Engine</t>
        </is>
      </c>
      <c r="C168" s="5" t="inlineStr">
        <is>
          <t>With support</t>
        </is>
      </c>
      <c r="D168" s="5" t="inlineStr">
        <is>
          <t>Development Team</t>
        </is>
      </c>
      <c r="E168" s="5" t="inlineStr">
        <is>
          <t>Critical</t>
        </is>
      </c>
      <c r="F168" s="5" t="inlineStr">
        <is>
          <t>N/A</t>
        </is>
      </c>
      <c r="G168" s="5" t="inlineStr">
        <is>
          <t>Deterministic API test</t>
        </is>
      </c>
      <c r="H168" s="5" t="inlineStr">
        <is>
          <t>Published controlled opportunity exists for Fish preparation; versioned scoring rules and weights are recorded.</t>
        </is>
      </c>
      <c r="I168" s="5" t="inlineStr">
        <is>
          <t>Fish preparation: Candidate can perform selected tasks with offered assistance.</t>
        </is>
      </c>
      <c r="J168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8" s="5" t="inlineStr">
        <is>
          <t>The 0.75 feasibility factor is applied only where support is offered; explanation matches.</t>
        </is>
      </c>
      <c r="L168" s="5" t="inlineStr">
        <is>
          <t>Validated 5 deployed offer(s): 3 eligible and 2 ineligible. Formula components, feasibility factors, explanations and the repeated deterministic response matched the independent oracle.</t>
        </is>
      </c>
      <c r="M168" s="5" t="inlineStr">
        <is>
          <t>EV-MATCH-001</t>
        </is>
      </c>
      <c r="N168" s="5" t="inlineStr">
        <is>
          <t>Pass</t>
        </is>
      </c>
      <c r="O168" s="5" t="inlineStr"/>
      <c r="P168" s="10" t="n">
        <v>1.4</v>
      </c>
      <c r="Q168" s="11" t="inlineStr"/>
      <c r="R168" s="12" t="n">
        <v>46275</v>
      </c>
      <c r="S168" s="5" t="inlineStr"/>
      <c r="T168" s="12" t="inlineStr"/>
      <c r="U168" s="5" t="inlineStr">
        <is>
          <t>Evaluated output case against healthy API and scoring services.</t>
        </is>
      </c>
    </row>
    <row r="169">
      <c r="A169" s="4" t="inlineStr">
        <is>
          <t>ME-06-3</t>
        </is>
      </c>
      <c r="B169" s="5" t="inlineStr">
        <is>
          <t>Matching Engine</t>
        </is>
      </c>
      <c r="C169" s="5" t="inlineStr">
        <is>
          <t>Ineligible gate</t>
        </is>
      </c>
      <c r="D169" s="5" t="inlineStr">
        <is>
          <t>Development Team</t>
        </is>
      </c>
      <c r="E169" s="5" t="inlineStr">
        <is>
          <t>Critical</t>
        </is>
      </c>
      <c r="F169" s="5" t="inlineStr">
        <is>
          <t>N/A</t>
        </is>
      </c>
      <c r="G169" s="5" t="inlineStr">
        <is>
          <t>Deterministic API test</t>
        </is>
      </c>
      <c r="H169" s="5" t="inlineStr">
        <is>
          <t>Published controlled opportunity exists for Fish preparation; versioned scoring rules and weights are recorded.</t>
        </is>
      </c>
      <c r="I169" s="5" t="inlineStr">
        <is>
          <t>Fish preparation: Candidate fails one configured required education/ability or mandatory unsafe-task gate.</t>
        </is>
      </c>
      <c r="J169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69" s="5" t="inlineStr">
        <is>
          <t>Eligibility fails explicitly even if other weighted components score highly.</t>
        </is>
      </c>
      <c r="L169" s="5" t="inlineStr">
        <is>
          <t>Validated 5 deployed offer(s): 0 eligible and 5 ineligible. Formula components, feasibility factors, explanations and the repeated deterministic response matched the independent oracle.</t>
        </is>
      </c>
      <c r="M169" s="5" t="inlineStr">
        <is>
          <t>EV-MATCH-001</t>
        </is>
      </c>
      <c r="N169" s="5" t="inlineStr">
        <is>
          <t>Pass</t>
        </is>
      </c>
      <c r="O169" s="5" t="inlineStr"/>
      <c r="P169" s="10" t="n">
        <v>1.4</v>
      </c>
      <c r="Q169" s="11" t="inlineStr"/>
      <c r="R169" s="12" t="n">
        <v>46275</v>
      </c>
      <c r="S169" s="5" t="inlineStr"/>
      <c r="T169" s="12" t="inlineStr"/>
      <c r="U169" s="5" t="inlineStr">
        <is>
          <t>Evaluated output case against healthy API and scoring services.</t>
        </is>
      </c>
    </row>
    <row r="170">
      <c r="A170" s="4" t="inlineStr">
        <is>
          <t>ME-07-1</t>
        </is>
      </c>
      <c r="B170" s="5" t="inlineStr">
        <is>
          <t>Matching Engine</t>
        </is>
      </c>
      <c r="C170" s="5" t="inlineStr">
        <is>
          <t>Independent</t>
        </is>
      </c>
      <c r="D170" s="5" t="inlineStr">
        <is>
          <t>Development Team</t>
        </is>
      </c>
      <c r="E170" s="5" t="inlineStr">
        <is>
          <t>Critical</t>
        </is>
      </c>
      <c r="F170" s="5" t="inlineStr">
        <is>
          <t>N/A</t>
        </is>
      </c>
      <c r="G170" s="5" t="inlineStr">
        <is>
          <t>Deterministic API test</t>
        </is>
      </c>
      <c r="H170" s="5" t="inlineStr">
        <is>
          <t>Published controlled opportunity exists for Food service point of sales management; versioned scoring rules and weights are recorded.</t>
        </is>
      </c>
      <c r="I170" s="5" t="inlineStr">
        <is>
          <t>Food service point of sales management: Candidate independently meets configured tasks and abilities.</t>
        </is>
      </c>
      <c r="J170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0" s="5" t="inlineStr">
        <is>
          <t>Displayed score equals the manual weighted oracle; eligibility passes.</t>
        </is>
      </c>
      <c r="L170" s="5" t="inlineStr">
        <is>
          <t>Validated 4 deployed offer(s): 4 eligible and 0 ineligible. Formula components, feasibility factors, explanations and the repeated deterministic response matched the independent oracle.</t>
        </is>
      </c>
      <c r="M170" s="5" t="inlineStr">
        <is>
          <t>EV-MATCH-001</t>
        </is>
      </c>
      <c r="N170" s="5" t="inlineStr">
        <is>
          <t>Pass</t>
        </is>
      </c>
      <c r="O170" s="5" t="inlineStr"/>
      <c r="P170" s="10" t="n">
        <v>1.4</v>
      </c>
      <c r="Q170" s="11" t="inlineStr"/>
      <c r="R170" s="12" t="n">
        <v>46275</v>
      </c>
      <c r="S170" s="5" t="inlineStr"/>
      <c r="T170" s="12" t="inlineStr"/>
      <c r="U170" s="5" t="inlineStr">
        <is>
          <t>Evaluated output case against healthy API and scoring services.</t>
        </is>
      </c>
    </row>
    <row r="171">
      <c r="A171" s="4" t="inlineStr">
        <is>
          <t>ME-07-2</t>
        </is>
      </c>
      <c r="B171" s="5" t="inlineStr">
        <is>
          <t>Matching Engine</t>
        </is>
      </c>
      <c r="C171" s="5" t="inlineStr">
        <is>
          <t>With support</t>
        </is>
      </c>
      <c r="D171" s="5" t="inlineStr">
        <is>
          <t>Development Team</t>
        </is>
      </c>
      <c r="E171" s="5" t="inlineStr">
        <is>
          <t>Critical</t>
        </is>
      </c>
      <c r="F171" s="5" t="inlineStr">
        <is>
          <t>N/A</t>
        </is>
      </c>
      <c r="G171" s="5" t="inlineStr">
        <is>
          <t>Deterministic API test</t>
        </is>
      </c>
      <c r="H171" s="5" t="inlineStr">
        <is>
          <t>Published controlled opportunity exists for Food service point of sales management; versioned scoring rules and weights are recorded.</t>
        </is>
      </c>
      <c r="I171" s="5" t="inlineStr">
        <is>
          <t>Food service point of sales management: Candidate can perform selected tasks with offered assistance.</t>
        </is>
      </c>
      <c r="J171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1" s="5" t="inlineStr">
        <is>
          <t>The 0.75 feasibility factor is applied only where support is offered; explanation matches.</t>
        </is>
      </c>
      <c r="L171" s="5" t="inlineStr">
        <is>
          <t>Validated 4 deployed offer(s): 2 eligible and 2 ineligible. Formula components, feasibility factors, explanations and the repeated deterministic response matched the independent oracle.</t>
        </is>
      </c>
      <c r="M171" s="5" t="inlineStr">
        <is>
          <t>EV-MATCH-001</t>
        </is>
      </c>
      <c r="N171" s="5" t="inlineStr">
        <is>
          <t>Pass</t>
        </is>
      </c>
      <c r="O171" s="5" t="inlineStr"/>
      <c r="P171" s="10" t="n">
        <v>1.2</v>
      </c>
      <c r="Q171" s="11" t="inlineStr"/>
      <c r="R171" s="12" t="n">
        <v>46275</v>
      </c>
      <c r="S171" s="5" t="inlineStr"/>
      <c r="T171" s="12" t="inlineStr"/>
      <c r="U171" s="5" t="inlineStr">
        <is>
          <t>Evaluated output case against healthy API and scoring services.</t>
        </is>
      </c>
    </row>
    <row r="172">
      <c r="A172" s="4" t="inlineStr">
        <is>
          <t>ME-07-3</t>
        </is>
      </c>
      <c r="B172" s="5" t="inlineStr">
        <is>
          <t>Matching Engine</t>
        </is>
      </c>
      <c r="C172" s="5" t="inlineStr">
        <is>
          <t>Ineligible gate</t>
        </is>
      </c>
      <c r="D172" s="5" t="inlineStr">
        <is>
          <t>Development Team</t>
        </is>
      </c>
      <c r="E172" s="5" t="inlineStr">
        <is>
          <t>Critical</t>
        </is>
      </c>
      <c r="F172" s="5" t="inlineStr">
        <is>
          <t>N/A</t>
        </is>
      </c>
      <c r="G172" s="5" t="inlineStr">
        <is>
          <t>Deterministic API test</t>
        </is>
      </c>
      <c r="H172" s="5" t="inlineStr">
        <is>
          <t>Published controlled opportunity exists for Food service point of sales management; versioned scoring rules and weights are recorded.</t>
        </is>
      </c>
      <c r="I172" s="5" t="inlineStr">
        <is>
          <t>Food service point of sales management: Candidate fails one configured required education/ability or mandatory unsafe-task gate.</t>
        </is>
      </c>
      <c r="J17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2" s="5" t="inlineStr">
        <is>
          <t>Eligibility fails explicitly even if other weighted components score highly.</t>
        </is>
      </c>
      <c r="L172" s="5" t="inlineStr">
        <is>
          <t>Validated 4 deployed offer(s): 0 eligible and 4 ineligible. Formula components, feasibility factors, explanations and the repeated deterministic response matched the independent oracle.</t>
        </is>
      </c>
      <c r="M172" s="5" t="inlineStr">
        <is>
          <t>EV-MATCH-001</t>
        </is>
      </c>
      <c r="N172" s="5" t="inlineStr">
        <is>
          <t>Pass</t>
        </is>
      </c>
      <c r="O172" s="5" t="inlineStr"/>
      <c r="P172" s="10" t="n">
        <v>1.2</v>
      </c>
      <c r="Q172" s="11" t="inlineStr"/>
      <c r="R172" s="12" t="n">
        <v>46275</v>
      </c>
      <c r="S172" s="5" t="inlineStr"/>
      <c r="T172" s="12" t="inlineStr"/>
      <c r="U172" s="5" t="inlineStr">
        <is>
          <t>Evaluated output case against healthy API and scoring services.</t>
        </is>
      </c>
    </row>
    <row r="173">
      <c r="A173" s="4" t="inlineStr">
        <is>
          <t>ME-08-1</t>
        </is>
      </c>
      <c r="B173" s="5" t="inlineStr">
        <is>
          <t>Matching Engine</t>
        </is>
      </c>
      <c r="C173" s="5" t="inlineStr">
        <is>
          <t>Independent</t>
        </is>
      </c>
      <c r="D173" s="5" t="inlineStr">
        <is>
          <t>Development Team</t>
        </is>
      </c>
      <c r="E173" s="5" t="inlineStr">
        <is>
          <t>Critical</t>
        </is>
      </c>
      <c r="F173" s="5" t="inlineStr">
        <is>
          <t>N/A</t>
        </is>
      </c>
      <c r="G173" s="5" t="inlineStr">
        <is>
          <t>Deterministic API test</t>
        </is>
      </c>
      <c r="H173" s="5" t="inlineStr">
        <is>
          <t>Published controlled opportunity exists for Head Barman / Barman; versioned scoring rules and weights are recorded.</t>
        </is>
      </c>
      <c r="I173" s="5" t="inlineStr">
        <is>
          <t>Head Barman / Barman: Candidate independently meets configured tasks and abilities.</t>
        </is>
      </c>
      <c r="J17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3" s="5" t="inlineStr">
        <is>
          <t>Displayed score equals the manual weighted oracle; eligibility passes.</t>
        </is>
      </c>
      <c r="L173" s="5" t="inlineStr">
        <is>
          <t>Validated 4 deployed offer(s): 4 eligible and 0 ineligible. Formula components, feasibility factors, explanations and the repeated deterministic response matched the independent oracle.</t>
        </is>
      </c>
      <c r="M173" s="5" t="inlineStr">
        <is>
          <t>EV-MATCH-001</t>
        </is>
      </c>
      <c r="N173" s="5" t="inlineStr">
        <is>
          <t>Pass</t>
        </is>
      </c>
      <c r="O173" s="5" t="inlineStr"/>
      <c r="P173" s="10" t="n">
        <v>1.5</v>
      </c>
      <c r="Q173" s="11" t="inlineStr"/>
      <c r="R173" s="12" t="n">
        <v>46275</v>
      </c>
      <c r="S173" s="5" t="inlineStr"/>
      <c r="T173" s="12" t="inlineStr"/>
      <c r="U173" s="5" t="inlineStr">
        <is>
          <t>Evaluated output case against healthy API and scoring services.</t>
        </is>
      </c>
    </row>
    <row r="174">
      <c r="A174" s="4" t="inlineStr">
        <is>
          <t>ME-08-2</t>
        </is>
      </c>
      <c r="B174" s="5" t="inlineStr">
        <is>
          <t>Matching Engine</t>
        </is>
      </c>
      <c r="C174" s="5" t="inlineStr">
        <is>
          <t>With support</t>
        </is>
      </c>
      <c r="D174" s="5" t="inlineStr">
        <is>
          <t>Development Team</t>
        </is>
      </c>
      <c r="E174" s="5" t="inlineStr">
        <is>
          <t>Critical</t>
        </is>
      </c>
      <c r="F174" s="5" t="inlineStr">
        <is>
          <t>N/A</t>
        </is>
      </c>
      <c r="G174" s="5" t="inlineStr">
        <is>
          <t>Deterministic API test</t>
        </is>
      </c>
      <c r="H174" s="5" t="inlineStr">
        <is>
          <t>Published controlled opportunity exists for Head Barman / Barman; versioned scoring rules and weights are recorded.</t>
        </is>
      </c>
      <c r="I174" s="5" t="inlineStr">
        <is>
          <t>Head Barman / Barman: Candidate can perform selected tasks with offered assistance.</t>
        </is>
      </c>
      <c r="J17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4" s="5" t="inlineStr">
        <is>
          <t>The 0.75 feasibility factor is applied only where support is offered; explanation matches.</t>
        </is>
      </c>
      <c r="L174" s="5" t="inlineStr">
        <is>
          <t>Validated 4 deployed offer(s): 4 eligible and 0 ineligible. Formula components, feasibility factors, explanations and the repeated deterministic response matched the independent oracle.</t>
        </is>
      </c>
      <c r="M174" s="5" t="inlineStr">
        <is>
          <t>EV-MATCH-001</t>
        </is>
      </c>
      <c r="N174" s="5" t="inlineStr">
        <is>
          <t>Pass</t>
        </is>
      </c>
      <c r="O174" s="5" t="inlineStr"/>
      <c r="P174" s="10" t="n">
        <v>1.5</v>
      </c>
      <c r="Q174" s="11" t="inlineStr"/>
      <c r="R174" s="12" t="n">
        <v>46275</v>
      </c>
      <c r="S174" s="5" t="inlineStr"/>
      <c r="T174" s="12" t="inlineStr"/>
      <c r="U174" s="5" t="inlineStr">
        <is>
          <t>Evaluated output case against healthy API and scoring services.</t>
        </is>
      </c>
    </row>
    <row r="175">
      <c r="A175" s="4" t="inlineStr">
        <is>
          <t>ME-08-3</t>
        </is>
      </c>
      <c r="B175" s="5" t="inlineStr">
        <is>
          <t>Matching Engine</t>
        </is>
      </c>
      <c r="C175" s="5" t="inlineStr">
        <is>
          <t>Ineligible gate</t>
        </is>
      </c>
      <c r="D175" s="5" t="inlineStr">
        <is>
          <t>Development Team</t>
        </is>
      </c>
      <c r="E175" s="5" t="inlineStr">
        <is>
          <t>Critical</t>
        </is>
      </c>
      <c r="F175" s="5" t="inlineStr">
        <is>
          <t>N/A</t>
        </is>
      </c>
      <c r="G175" s="5" t="inlineStr">
        <is>
          <t>Deterministic API test</t>
        </is>
      </c>
      <c r="H175" s="5" t="inlineStr">
        <is>
          <t>Published controlled opportunity exists for Head Barman / Barman; versioned scoring rules and weights are recorded.</t>
        </is>
      </c>
      <c r="I175" s="5" t="inlineStr">
        <is>
          <t>Head Barman / Barman: Candidate fails one configured required education/ability or mandatory unsafe-task gate.</t>
        </is>
      </c>
      <c r="J17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5" s="5" t="inlineStr">
        <is>
          <t>Eligibility fails explicitly even if other weighted components score highly.</t>
        </is>
      </c>
      <c r="L175" s="5" t="inlineStr">
        <is>
          <t>Validated 4 deployed offer(s): 1 eligible and 3 ineligible. Formula components, feasibility factors, explanations and the repeated deterministic response matched the independent oracle.</t>
        </is>
      </c>
      <c r="M175" s="5" t="inlineStr">
        <is>
          <t>EV-MATCH-001</t>
        </is>
      </c>
      <c r="N175" s="5" t="inlineStr">
        <is>
          <t>Pass</t>
        </is>
      </c>
      <c r="O175" s="5" t="inlineStr"/>
      <c r="P175" s="10" t="n">
        <v>1.5</v>
      </c>
      <c r="Q175" s="11" t="inlineStr"/>
      <c r="R175" s="12" t="n">
        <v>46275</v>
      </c>
      <c r="S175" s="5" t="inlineStr"/>
      <c r="T175" s="12" t="inlineStr"/>
      <c r="U175" s="5" t="inlineStr">
        <is>
          <t>Evaluated output case against healthy API and scoring services.</t>
        </is>
      </c>
    </row>
    <row r="176">
      <c r="A176" s="4" t="inlineStr">
        <is>
          <t>ME-09-1</t>
        </is>
      </c>
      <c r="B176" s="5" t="inlineStr">
        <is>
          <t>Matching Engine</t>
        </is>
      </c>
      <c r="C176" s="5" t="inlineStr">
        <is>
          <t>Independent</t>
        </is>
      </c>
      <c r="D176" s="5" t="inlineStr">
        <is>
          <t>Development Team</t>
        </is>
      </c>
      <c r="E176" s="5" t="inlineStr">
        <is>
          <t>Critical</t>
        </is>
      </c>
      <c r="F176" s="5" t="inlineStr">
        <is>
          <t>N/A</t>
        </is>
      </c>
      <c r="G176" s="5" t="inlineStr">
        <is>
          <t>Deterministic API test</t>
        </is>
      </c>
      <c r="H176" s="5" t="inlineStr">
        <is>
          <t>Published controlled opportunity exists for Host / Hostess; versioned scoring rules and weights are recorded.</t>
        </is>
      </c>
      <c r="I176" s="5" t="inlineStr">
        <is>
          <t>Host / Hostess: Candidate independently meets configured tasks and abilities.</t>
        </is>
      </c>
      <c r="J17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6" s="5" t="inlineStr">
        <is>
          <t>Displayed score equals the manual weighted oracle; eligibility passes.</t>
        </is>
      </c>
      <c r="L176" s="5" t="inlineStr">
        <is>
          <t>Validated 4 deployed offer(s): 4 eligible and 0 ineligible. Formula components, feasibility factors, explanations and the repeated deterministic response matched the independent oracle.</t>
        </is>
      </c>
      <c r="M176" s="5" t="inlineStr">
        <is>
          <t>EV-MATCH-001</t>
        </is>
      </c>
      <c r="N176" s="5" t="inlineStr">
        <is>
          <t>Pass</t>
        </is>
      </c>
      <c r="O176" s="5" t="inlineStr"/>
      <c r="P176" s="10" t="n">
        <v>1.3</v>
      </c>
      <c r="Q176" s="11" t="inlineStr"/>
      <c r="R176" s="12" t="n">
        <v>46275</v>
      </c>
      <c r="S176" s="5" t="inlineStr"/>
      <c r="T176" s="12" t="inlineStr"/>
      <c r="U176" s="5" t="inlineStr">
        <is>
          <t>Evaluated output case against healthy API and scoring services.</t>
        </is>
      </c>
    </row>
    <row r="177">
      <c r="A177" s="4" t="inlineStr">
        <is>
          <t>ME-09-2</t>
        </is>
      </c>
      <c r="B177" s="5" t="inlineStr">
        <is>
          <t>Matching Engine</t>
        </is>
      </c>
      <c r="C177" s="5" t="inlineStr">
        <is>
          <t>With support</t>
        </is>
      </c>
      <c r="D177" s="5" t="inlineStr">
        <is>
          <t>Development Team</t>
        </is>
      </c>
      <c r="E177" s="5" t="inlineStr">
        <is>
          <t>Critical</t>
        </is>
      </c>
      <c r="F177" s="5" t="inlineStr">
        <is>
          <t>N/A</t>
        </is>
      </c>
      <c r="G177" s="5" t="inlineStr">
        <is>
          <t>Deterministic API test</t>
        </is>
      </c>
      <c r="H177" s="5" t="inlineStr">
        <is>
          <t>Published controlled opportunity exists for Host / Hostess; versioned scoring rules and weights are recorded.</t>
        </is>
      </c>
      <c r="I177" s="5" t="inlineStr">
        <is>
          <t>Host / Hostess: Candidate can perform selected tasks with offered assistance.</t>
        </is>
      </c>
      <c r="J177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7" s="5" t="inlineStr">
        <is>
          <t>The 0.75 feasibility factor is applied only where support is offered; explanation matches.</t>
        </is>
      </c>
      <c r="L177" s="5" t="inlineStr">
        <is>
          <t>Validated 4 deployed offer(s): 3 eligible and 1 ineligible. Formula components, feasibility factors, explanations and the repeated deterministic response matched the independent oracle.</t>
        </is>
      </c>
      <c r="M177" s="5" t="inlineStr">
        <is>
          <t>EV-MATCH-001</t>
        </is>
      </c>
      <c r="N177" s="5" t="inlineStr">
        <is>
          <t>Pass</t>
        </is>
      </c>
      <c r="O177" s="5" t="inlineStr"/>
      <c r="P177" s="10" t="n">
        <v>1.2</v>
      </c>
      <c r="Q177" s="11" t="inlineStr"/>
      <c r="R177" s="12" t="n">
        <v>46275</v>
      </c>
      <c r="S177" s="5" t="inlineStr"/>
      <c r="T177" s="12" t="inlineStr"/>
      <c r="U177" s="5" t="inlineStr">
        <is>
          <t>Evaluated output case against healthy API and scoring services.</t>
        </is>
      </c>
    </row>
    <row r="178">
      <c r="A178" s="4" t="inlineStr">
        <is>
          <t>ME-09-3</t>
        </is>
      </c>
      <c r="B178" s="5" t="inlineStr">
        <is>
          <t>Matching Engine</t>
        </is>
      </c>
      <c r="C178" s="5" t="inlineStr">
        <is>
          <t>Ineligible gate</t>
        </is>
      </c>
      <c r="D178" s="5" t="inlineStr">
        <is>
          <t>Development Team</t>
        </is>
      </c>
      <c r="E178" s="5" t="inlineStr">
        <is>
          <t>Critical</t>
        </is>
      </c>
      <c r="F178" s="5" t="inlineStr">
        <is>
          <t>N/A</t>
        </is>
      </c>
      <c r="G178" s="5" t="inlineStr">
        <is>
          <t>Deterministic API test</t>
        </is>
      </c>
      <c r="H178" s="5" t="inlineStr">
        <is>
          <t>Published controlled opportunity exists for Host / Hostess; versioned scoring rules and weights are recorded.</t>
        </is>
      </c>
      <c r="I178" s="5" t="inlineStr">
        <is>
          <t>Host / Hostess: Candidate fails one configured required education/ability or mandatory unsafe-task gate.</t>
        </is>
      </c>
      <c r="J178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8" s="5" t="inlineStr">
        <is>
          <t>Eligibility fails explicitly even if other weighted components score highly.</t>
        </is>
      </c>
      <c r="L178" s="5" t="inlineStr">
        <is>
          <t>Validated 4 deployed offer(s): 0 eligible and 4 ineligible. Formula components, feasibility factors, explanations and the repeated deterministic response matched the independent oracle.</t>
        </is>
      </c>
      <c r="M178" s="5" t="inlineStr">
        <is>
          <t>EV-MATCH-001</t>
        </is>
      </c>
      <c r="N178" s="5" t="inlineStr">
        <is>
          <t>Pass</t>
        </is>
      </c>
      <c r="O178" s="5" t="inlineStr"/>
      <c r="P178" s="10" t="n">
        <v>1.2</v>
      </c>
      <c r="Q178" s="11" t="inlineStr"/>
      <c r="R178" s="12" t="n">
        <v>46275</v>
      </c>
      <c r="S178" s="5" t="inlineStr"/>
      <c r="T178" s="12" t="inlineStr"/>
      <c r="U178" s="5" t="inlineStr">
        <is>
          <t>Evaluated output case against healthy API and scoring services.</t>
        </is>
      </c>
    </row>
    <row r="179">
      <c r="A179" s="4" t="inlineStr">
        <is>
          <t>ME-10-1</t>
        </is>
      </c>
      <c r="B179" s="5" t="inlineStr">
        <is>
          <t>Matching Engine</t>
        </is>
      </c>
      <c r="C179" s="5" t="inlineStr">
        <is>
          <t>Independent</t>
        </is>
      </c>
      <c r="D179" s="5" t="inlineStr">
        <is>
          <t>Development Team</t>
        </is>
      </c>
      <c r="E179" s="5" t="inlineStr">
        <is>
          <t>Critical</t>
        </is>
      </c>
      <c r="F179" s="5" t="inlineStr">
        <is>
          <t>N/A</t>
        </is>
      </c>
      <c r="G179" s="5" t="inlineStr">
        <is>
          <t>Deterministic API test</t>
        </is>
      </c>
      <c r="H179" s="5" t="inlineStr">
        <is>
          <t>Published controlled opportunity exists for Ice Cream Maker; versioned scoring rules and weights are recorded.</t>
        </is>
      </c>
      <c r="I179" s="5" t="inlineStr">
        <is>
          <t>Ice Cream Maker: Candidate independently meets configured tasks and abilities.</t>
        </is>
      </c>
      <c r="J179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79" s="5" t="inlineStr">
        <is>
          <t>Displayed score equals the manual weighted oracle; eligibility passes.</t>
        </is>
      </c>
      <c r="L179" s="5" t="inlineStr">
        <is>
          <t>Validated 9 deployed offer(s): 9 eligible and 0 ineligible. Formula components, feasibility factors, explanations and the repeated deterministic response matched the independent oracle.</t>
        </is>
      </c>
      <c r="M179" s="5" t="inlineStr">
        <is>
          <t>EV-MATCH-001</t>
        </is>
      </c>
      <c r="N179" s="5" t="inlineStr">
        <is>
          <t>Pass</t>
        </is>
      </c>
      <c r="O179" s="5" t="inlineStr"/>
      <c r="P179" s="10" t="n">
        <v>2.6</v>
      </c>
      <c r="Q179" s="11" t="inlineStr"/>
      <c r="R179" s="12" t="n">
        <v>46275</v>
      </c>
      <c r="S179" s="5" t="inlineStr"/>
      <c r="T179" s="12" t="inlineStr"/>
      <c r="U179" s="5" t="inlineStr">
        <is>
          <t>Evaluated output case against healthy API and scoring services.</t>
        </is>
      </c>
    </row>
    <row r="180">
      <c r="A180" s="4" t="inlineStr">
        <is>
          <t>ME-10-2</t>
        </is>
      </c>
      <c r="B180" s="5" t="inlineStr">
        <is>
          <t>Matching Engine</t>
        </is>
      </c>
      <c r="C180" s="5" t="inlineStr">
        <is>
          <t>With support</t>
        </is>
      </c>
      <c r="D180" s="5" t="inlineStr">
        <is>
          <t>Development Team</t>
        </is>
      </c>
      <c r="E180" s="5" t="inlineStr">
        <is>
          <t>Critical</t>
        </is>
      </c>
      <c r="F180" s="5" t="inlineStr">
        <is>
          <t>N/A</t>
        </is>
      </c>
      <c r="G180" s="5" t="inlineStr">
        <is>
          <t>Deterministic API test</t>
        </is>
      </c>
      <c r="H180" s="5" t="inlineStr">
        <is>
          <t>Published controlled opportunity exists for Ice Cream Maker; versioned scoring rules and weights are recorded.</t>
        </is>
      </c>
      <c r="I180" s="5" t="inlineStr">
        <is>
          <t>Ice Cream Maker: Candidate can perform selected tasks with offered assistance.</t>
        </is>
      </c>
      <c r="J180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0" s="5" t="inlineStr">
        <is>
          <t>The 0.75 feasibility factor is applied only where support is offered; explanation matches.</t>
        </is>
      </c>
      <c r="L180" s="5" t="inlineStr">
        <is>
          <t>Validated 9 deployed offer(s): 9 eligible and 0 ineligible. Formula components, feasibility factors, explanations and the repeated deterministic response matched the independent oracle.</t>
        </is>
      </c>
      <c r="M180" s="5" t="inlineStr">
        <is>
          <t>EV-MATCH-001</t>
        </is>
      </c>
      <c r="N180" s="5" t="inlineStr">
        <is>
          <t>Pass</t>
        </is>
      </c>
      <c r="O180" s="5" t="inlineStr"/>
      <c r="P180" s="10" t="n">
        <v>2.4</v>
      </c>
      <c r="Q180" s="11" t="inlineStr"/>
      <c r="R180" s="12" t="n">
        <v>46275</v>
      </c>
      <c r="S180" s="5" t="inlineStr"/>
      <c r="T180" s="12" t="inlineStr"/>
      <c r="U180" s="5" t="inlineStr">
        <is>
          <t>Evaluated output case against healthy API and scoring services.</t>
        </is>
      </c>
    </row>
    <row r="181">
      <c r="A181" s="4" t="inlineStr">
        <is>
          <t>ME-10-3</t>
        </is>
      </c>
      <c r="B181" s="5" t="inlineStr">
        <is>
          <t>Matching Engine</t>
        </is>
      </c>
      <c r="C181" s="5" t="inlineStr">
        <is>
          <t>Ineligible gate</t>
        </is>
      </c>
      <c r="D181" s="5" t="inlineStr">
        <is>
          <t>Development Team</t>
        </is>
      </c>
      <c r="E181" s="5" t="inlineStr">
        <is>
          <t>Critical</t>
        </is>
      </c>
      <c r="F181" s="5" t="inlineStr">
        <is>
          <t>N/A</t>
        </is>
      </c>
      <c r="G181" s="5" t="inlineStr">
        <is>
          <t>Deterministic API test</t>
        </is>
      </c>
      <c r="H181" s="5" t="inlineStr">
        <is>
          <t>Published controlled opportunity exists for Ice Cream Maker; versioned scoring rules and weights are recorded.</t>
        </is>
      </c>
      <c r="I181" s="5" t="inlineStr">
        <is>
          <t>Ice Cream Maker: Candidate fails one configured required education/ability or mandatory unsafe-task gate.</t>
        </is>
      </c>
      <c r="J181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1" s="5" t="inlineStr">
        <is>
          <t>Eligibility fails explicitly even if other weighted components score highly.</t>
        </is>
      </c>
      <c r="L181" s="5" t="inlineStr">
        <is>
          <t>Validated 9 deployed offer(s): 8 eligible and 1 ineligible. Formula components, feasibility factors, explanations and the repeated deterministic response matched the independent oracle.</t>
        </is>
      </c>
      <c r="M181" s="5" t="inlineStr">
        <is>
          <t>EV-MATCH-001</t>
        </is>
      </c>
      <c r="N181" s="5" t="inlineStr">
        <is>
          <t>Pass</t>
        </is>
      </c>
      <c r="O181" s="5" t="inlineStr"/>
      <c r="P181" s="10" t="n">
        <v>2.7</v>
      </c>
      <c r="Q181" s="11" t="inlineStr"/>
      <c r="R181" s="12" t="n">
        <v>46275</v>
      </c>
      <c r="S181" s="5" t="inlineStr"/>
      <c r="T181" s="12" t="inlineStr"/>
      <c r="U181" s="5" t="inlineStr">
        <is>
          <t>Evaluated output case against healthy API and scoring services.</t>
        </is>
      </c>
    </row>
    <row r="182">
      <c r="A182" s="4" t="inlineStr">
        <is>
          <t>ME-11-1</t>
        </is>
      </c>
      <c r="B182" s="5" t="inlineStr">
        <is>
          <t>Matching Engine</t>
        </is>
      </c>
      <c r="C182" s="5" t="inlineStr">
        <is>
          <t>Independent</t>
        </is>
      </c>
      <c r="D182" s="5" t="inlineStr">
        <is>
          <t>Development Team</t>
        </is>
      </c>
      <c r="E182" s="5" t="inlineStr">
        <is>
          <t>Critical</t>
        </is>
      </c>
      <c r="F182" s="5" t="inlineStr">
        <is>
          <t>N/A</t>
        </is>
      </c>
      <c r="G182" s="5" t="inlineStr">
        <is>
          <t>Deterministic API test</t>
        </is>
      </c>
      <c r="H182" s="5" t="inlineStr">
        <is>
          <t>Published controlled opportunity exists for Point of sales manager - Self service; versioned scoring rules and weights are recorded.</t>
        </is>
      </c>
      <c r="I182" s="5" t="inlineStr">
        <is>
          <t>Point of sales manager - Self service: Candidate independently meets configured tasks and abilities.</t>
        </is>
      </c>
      <c r="J18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2" s="5" t="inlineStr">
        <is>
          <t>Displayed score equals the manual weighted oracle; eligibility passes.</t>
        </is>
      </c>
      <c r="L182" s="5" t="inlineStr">
        <is>
          <t>Validated 4 deployed offer(s): 4 eligible and 0 ineligible. Formula components, feasibility factors, explanations and the repeated deterministic response matched the independent oracle.</t>
        </is>
      </c>
      <c r="M182" s="5" t="inlineStr">
        <is>
          <t>EV-MATCH-001</t>
        </is>
      </c>
      <c r="N182" s="5" t="inlineStr">
        <is>
          <t>Pass</t>
        </is>
      </c>
      <c r="O182" s="5" t="inlineStr"/>
      <c r="P182" s="10" t="n">
        <v>1.7</v>
      </c>
      <c r="Q182" s="11" t="inlineStr"/>
      <c r="R182" s="12" t="n">
        <v>46275</v>
      </c>
      <c r="S182" s="5" t="inlineStr"/>
      <c r="T182" s="12" t="inlineStr"/>
      <c r="U182" s="5" t="inlineStr">
        <is>
          <t>Evaluated output case against healthy API and scoring services.</t>
        </is>
      </c>
    </row>
    <row r="183">
      <c r="A183" s="4" t="inlineStr">
        <is>
          <t>ME-11-2</t>
        </is>
      </c>
      <c r="B183" s="5" t="inlineStr">
        <is>
          <t>Matching Engine</t>
        </is>
      </c>
      <c r="C183" s="5" t="inlineStr">
        <is>
          <t>With support</t>
        </is>
      </c>
      <c r="D183" s="5" t="inlineStr">
        <is>
          <t>Development Team</t>
        </is>
      </c>
      <c r="E183" s="5" t="inlineStr">
        <is>
          <t>Critical</t>
        </is>
      </c>
      <c r="F183" s="5" t="inlineStr">
        <is>
          <t>N/A</t>
        </is>
      </c>
      <c r="G183" s="5" t="inlineStr">
        <is>
          <t>Deterministic API test</t>
        </is>
      </c>
      <c r="H183" s="5" t="inlineStr">
        <is>
          <t>Published controlled opportunity exists for Point of sales manager - Self service; versioned scoring rules and weights are recorded.</t>
        </is>
      </c>
      <c r="I183" s="5" t="inlineStr">
        <is>
          <t>Point of sales manager - Self service: Candidate can perform selected tasks with offered assistance.</t>
        </is>
      </c>
      <c r="J18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3" s="5" t="inlineStr">
        <is>
          <t>The 0.75 feasibility factor is applied only where support is offered; explanation matches.</t>
        </is>
      </c>
      <c r="L183" s="5" t="inlineStr">
        <is>
          <t>Validated 4 deployed offer(s): 1 eligible and 3 ineligible. Formula components, feasibility factors, explanations and the repeated deterministic response matched the independent oracle.</t>
        </is>
      </c>
      <c r="M183" s="5" t="inlineStr">
        <is>
          <t>EV-MATCH-001</t>
        </is>
      </c>
      <c r="N183" s="5" t="inlineStr">
        <is>
          <t>Pass</t>
        </is>
      </c>
      <c r="O183" s="5" t="inlineStr"/>
      <c r="P183" s="10" t="n">
        <v>1.7</v>
      </c>
      <c r="Q183" s="11" t="inlineStr"/>
      <c r="R183" s="12" t="n">
        <v>46275</v>
      </c>
      <c r="S183" s="5" t="inlineStr"/>
      <c r="T183" s="12" t="inlineStr"/>
      <c r="U183" s="5" t="inlineStr">
        <is>
          <t>Evaluated output case against healthy API and scoring services.</t>
        </is>
      </c>
    </row>
    <row r="184">
      <c r="A184" s="4" t="inlineStr">
        <is>
          <t>ME-11-3</t>
        </is>
      </c>
      <c r="B184" s="5" t="inlineStr">
        <is>
          <t>Matching Engine</t>
        </is>
      </c>
      <c r="C184" s="5" t="inlineStr">
        <is>
          <t>Ineligible gate</t>
        </is>
      </c>
      <c r="D184" s="5" t="inlineStr">
        <is>
          <t>Development Team</t>
        </is>
      </c>
      <c r="E184" s="5" t="inlineStr">
        <is>
          <t>Critical</t>
        </is>
      </c>
      <c r="F184" s="5" t="inlineStr">
        <is>
          <t>N/A</t>
        </is>
      </c>
      <c r="G184" s="5" t="inlineStr">
        <is>
          <t>Deterministic API test</t>
        </is>
      </c>
      <c r="H184" s="5" t="inlineStr">
        <is>
          <t>Published controlled opportunity exists for Point of sales manager - Self service; versioned scoring rules and weights are recorded.</t>
        </is>
      </c>
      <c r="I184" s="5" t="inlineStr">
        <is>
          <t>Point of sales manager - Self service: Candidate fails one configured required education/ability or mandatory unsafe-task gate.</t>
        </is>
      </c>
      <c r="J18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4" s="5" t="inlineStr">
        <is>
          <t>Eligibility fails explicitly even if other weighted components score highly.</t>
        </is>
      </c>
      <c r="L184" s="5" t="inlineStr">
        <is>
          <t>Validated 4 deployed offer(s): 0 eligible and 4 ineligible. Formula components, feasibility factors, explanations and the repeated deterministic response matched the independent oracle.</t>
        </is>
      </c>
      <c r="M184" s="5" t="inlineStr">
        <is>
          <t>EV-MATCH-001</t>
        </is>
      </c>
      <c r="N184" s="5" t="inlineStr">
        <is>
          <t>Pass</t>
        </is>
      </c>
      <c r="O184" s="5" t="inlineStr"/>
      <c r="P184" s="10" t="n">
        <v>1.8</v>
      </c>
      <c r="Q184" s="11" t="inlineStr"/>
      <c r="R184" s="12" t="n">
        <v>46275</v>
      </c>
      <c r="S184" s="5" t="inlineStr"/>
      <c r="T184" s="12" t="inlineStr"/>
      <c r="U184" s="5" t="inlineStr">
        <is>
          <t>Evaluated output case against healthy API and scoring services.</t>
        </is>
      </c>
    </row>
    <row r="185">
      <c r="A185" s="4" t="inlineStr">
        <is>
          <t>ME-12-1</t>
        </is>
      </c>
      <c r="B185" s="5" t="inlineStr">
        <is>
          <t>Matching Engine</t>
        </is>
      </c>
      <c r="C185" s="5" t="inlineStr">
        <is>
          <t>Independent</t>
        </is>
      </c>
      <c r="D185" s="5" t="inlineStr">
        <is>
          <t>Development Team</t>
        </is>
      </c>
      <c r="E185" s="5" t="inlineStr">
        <is>
          <t>Critical</t>
        </is>
      </c>
      <c r="F185" s="5" t="inlineStr">
        <is>
          <t>N/A</t>
        </is>
      </c>
      <c r="G185" s="5" t="inlineStr">
        <is>
          <t>Deterministic API test</t>
        </is>
      </c>
      <c r="H185" s="5" t="inlineStr">
        <is>
          <t>Published controlled opportunity exists for Pot - Dish - Glass Washing; versioned scoring rules and weights are recorded.</t>
        </is>
      </c>
      <c r="I185" s="5" t="inlineStr">
        <is>
          <t>Pot - Dish - Glass Washing: Candidate independently meets configured tasks and abilities.</t>
        </is>
      </c>
      <c r="J18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5" s="5" t="inlineStr">
        <is>
          <t>Displayed score equals the manual weighted oracle; eligibility passes.</t>
        </is>
      </c>
      <c r="L185" s="5" t="inlineStr">
        <is>
          <t>Validated 4 deployed offer(s): 4 eligible and 0 ineligible. Formula components, feasibility factors, explanations and the repeated deterministic response matched the independent oracle.</t>
        </is>
      </c>
      <c r="M185" s="5" t="inlineStr">
        <is>
          <t>EV-MATCH-001</t>
        </is>
      </c>
      <c r="N185" s="5" t="inlineStr">
        <is>
          <t>Pass</t>
        </is>
      </c>
      <c r="O185" s="5" t="inlineStr"/>
      <c r="P185" s="10" t="n">
        <v>1.4</v>
      </c>
      <c r="Q185" s="11" t="inlineStr"/>
      <c r="R185" s="12" t="n">
        <v>46275</v>
      </c>
      <c r="S185" s="5" t="inlineStr"/>
      <c r="T185" s="12" t="inlineStr"/>
      <c r="U185" s="5" t="inlineStr">
        <is>
          <t>Evaluated output case against healthy API and scoring services.</t>
        </is>
      </c>
    </row>
    <row r="186">
      <c r="A186" s="4" t="inlineStr">
        <is>
          <t>ME-12-2</t>
        </is>
      </c>
      <c r="B186" s="5" t="inlineStr">
        <is>
          <t>Matching Engine</t>
        </is>
      </c>
      <c r="C186" s="5" t="inlineStr">
        <is>
          <t>With support</t>
        </is>
      </c>
      <c r="D186" s="5" t="inlineStr">
        <is>
          <t>Development Team</t>
        </is>
      </c>
      <c r="E186" s="5" t="inlineStr">
        <is>
          <t>Critical</t>
        </is>
      </c>
      <c r="F186" s="5" t="inlineStr">
        <is>
          <t>N/A</t>
        </is>
      </c>
      <c r="G186" s="5" t="inlineStr">
        <is>
          <t>Deterministic API test</t>
        </is>
      </c>
      <c r="H186" s="5" t="inlineStr">
        <is>
          <t>Published controlled opportunity exists for Pot - Dish - Glass Washing; versioned scoring rules and weights are recorded.</t>
        </is>
      </c>
      <c r="I186" s="5" t="inlineStr">
        <is>
          <t>Pot - Dish - Glass Washing: Candidate can perform selected tasks with offered assistance.</t>
        </is>
      </c>
      <c r="J18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6" s="5" t="inlineStr">
        <is>
          <t>The 0.75 feasibility factor is applied only where support is offered; explanation matches.</t>
        </is>
      </c>
      <c r="L186" s="5" t="inlineStr">
        <is>
          <t>Validated 4 deployed offer(s): 4 eligible and 0 ineligible. Formula components, feasibility factors, explanations and the repeated deterministic response matched the independent oracle.</t>
        </is>
      </c>
      <c r="M186" s="5" t="inlineStr">
        <is>
          <t>EV-MATCH-001</t>
        </is>
      </c>
      <c r="N186" s="5" t="inlineStr">
        <is>
          <t>Pass</t>
        </is>
      </c>
      <c r="O186" s="5" t="inlineStr"/>
      <c r="P186" s="10" t="n">
        <v>1.3</v>
      </c>
      <c r="Q186" s="11" t="inlineStr"/>
      <c r="R186" s="12" t="n">
        <v>46275</v>
      </c>
      <c r="S186" s="5" t="inlineStr"/>
      <c r="T186" s="12" t="inlineStr"/>
      <c r="U186" s="5" t="inlineStr">
        <is>
          <t>Evaluated output case against healthy API and scoring services.</t>
        </is>
      </c>
    </row>
    <row r="187">
      <c r="A187" s="4" t="inlineStr">
        <is>
          <t>ME-12-3</t>
        </is>
      </c>
      <c r="B187" s="5" t="inlineStr">
        <is>
          <t>Matching Engine</t>
        </is>
      </c>
      <c r="C187" s="5" t="inlineStr">
        <is>
          <t>Ineligible gate</t>
        </is>
      </c>
      <c r="D187" s="5" t="inlineStr">
        <is>
          <t>Development Team</t>
        </is>
      </c>
      <c r="E187" s="5" t="inlineStr">
        <is>
          <t>Critical</t>
        </is>
      </c>
      <c r="F187" s="5" t="inlineStr">
        <is>
          <t>N/A</t>
        </is>
      </c>
      <c r="G187" s="5" t="inlineStr">
        <is>
          <t>Deterministic API test</t>
        </is>
      </c>
      <c r="H187" s="5" t="inlineStr">
        <is>
          <t>Published controlled opportunity exists for Pot - Dish - Glass Washing; versioned scoring rules and weights are recorded.</t>
        </is>
      </c>
      <c r="I187" s="5" t="inlineStr">
        <is>
          <t>Pot - Dish - Glass Washing: Candidate fails one configured required education/ability or mandatory unsafe-task gate.</t>
        </is>
      </c>
      <c r="J187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7" s="5" t="inlineStr">
        <is>
          <t>Eligibility fails explicitly even if other weighted components score highly.</t>
        </is>
      </c>
      <c r="L187" s="5" t="inlineStr">
        <is>
          <t>Validated 4 deployed offer(s): 2 eligible and 2 ineligible. Formula components, feasibility factors, explanations and the repeated deterministic response matched the independent oracle.</t>
        </is>
      </c>
      <c r="M187" s="5" t="inlineStr">
        <is>
          <t>EV-MATCH-001</t>
        </is>
      </c>
      <c r="N187" s="5" t="inlineStr">
        <is>
          <t>Pass</t>
        </is>
      </c>
      <c r="O187" s="5" t="inlineStr"/>
      <c r="P187" s="10" t="n">
        <v>1.5</v>
      </c>
      <c r="Q187" s="11" t="inlineStr"/>
      <c r="R187" s="12" t="n">
        <v>46275</v>
      </c>
      <c r="S187" s="5" t="inlineStr"/>
      <c r="T187" s="12" t="inlineStr"/>
      <c r="U187" s="5" t="inlineStr">
        <is>
          <t>Evaluated output case against healthy API and scoring services.</t>
        </is>
      </c>
    </row>
    <row r="188">
      <c r="A188" s="4" t="inlineStr">
        <is>
          <t>ME-13-1</t>
        </is>
      </c>
      <c r="B188" s="5" t="inlineStr">
        <is>
          <t>Matching Engine</t>
        </is>
      </c>
      <c r="C188" s="5" t="inlineStr">
        <is>
          <t>Independent</t>
        </is>
      </c>
      <c r="D188" s="5" t="inlineStr">
        <is>
          <t>Development Team</t>
        </is>
      </c>
      <c r="E188" s="5" t="inlineStr">
        <is>
          <t>Critical</t>
        </is>
      </c>
      <c r="F188" s="5" t="inlineStr">
        <is>
          <t>N/A</t>
        </is>
      </c>
      <c r="G188" s="5" t="inlineStr">
        <is>
          <t>Deterministic API test</t>
        </is>
      </c>
      <c r="H188" s="5" t="inlineStr">
        <is>
          <t>Published controlled opportunity exists for Rotating Chef - Self service, Banquet &amp; other; versioned scoring rules and weights are recorded.</t>
        </is>
      </c>
      <c r="I188" s="5" t="inlineStr">
        <is>
          <t>Rotating Chef - Self service, Banquet &amp; other: Candidate independently meets configured tasks and abilities.</t>
        </is>
      </c>
      <c r="J188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8" s="5" t="inlineStr">
        <is>
          <t>Displayed score equals the manual weighted oracle; eligibility passes.</t>
        </is>
      </c>
      <c r="L188" s="5" t="inlineStr">
        <is>
          <t>Validated 4 deployed offer(s): 4 eligible and 0 ineligible. Formula components, feasibility factors, explanations and the repeated deterministic response matched the independent oracle.</t>
        </is>
      </c>
      <c r="M188" s="5" t="inlineStr">
        <is>
          <t>EV-MATCH-001</t>
        </is>
      </c>
      <c r="N188" s="5" t="inlineStr">
        <is>
          <t>Pass</t>
        </is>
      </c>
      <c r="O188" s="5" t="inlineStr"/>
      <c r="P188" s="10" t="n">
        <v>1.7</v>
      </c>
      <c r="Q188" s="11" t="inlineStr"/>
      <c r="R188" s="12" t="n">
        <v>46275</v>
      </c>
      <c r="S188" s="5" t="inlineStr"/>
      <c r="T188" s="12" t="inlineStr"/>
      <c r="U188" s="5" t="inlineStr">
        <is>
          <t>Evaluated output case against healthy API and scoring services.</t>
        </is>
      </c>
    </row>
    <row r="189">
      <c r="A189" s="4" t="inlineStr">
        <is>
          <t>ME-13-2</t>
        </is>
      </c>
      <c r="B189" s="5" t="inlineStr">
        <is>
          <t>Matching Engine</t>
        </is>
      </c>
      <c r="C189" s="5" t="inlineStr">
        <is>
          <t>With support</t>
        </is>
      </c>
      <c r="D189" s="5" t="inlineStr">
        <is>
          <t>Development Team</t>
        </is>
      </c>
      <c r="E189" s="5" t="inlineStr">
        <is>
          <t>Critical</t>
        </is>
      </c>
      <c r="F189" s="5" t="inlineStr">
        <is>
          <t>N/A</t>
        </is>
      </c>
      <c r="G189" s="5" t="inlineStr">
        <is>
          <t>Deterministic API test</t>
        </is>
      </c>
      <c r="H189" s="5" t="inlineStr">
        <is>
          <t>Published controlled opportunity exists for Rotating Chef - Self service, Banquet &amp; other; versioned scoring rules and weights are recorded.</t>
        </is>
      </c>
      <c r="I189" s="5" t="inlineStr">
        <is>
          <t>Rotating Chef - Self service, Banquet &amp; other: Candidate can perform selected tasks with offered assistance.</t>
        </is>
      </c>
      <c r="J189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89" s="5" t="inlineStr">
        <is>
          <t>The 0.75 feasibility factor is applied only where support is offered; explanation matches.</t>
        </is>
      </c>
      <c r="L189" s="5" t="inlineStr">
        <is>
          <t>Validated 4 deployed offer(s): 3 eligible and 1 ineligible. Formula components, feasibility factors, explanations and the repeated deterministic response matched the independent oracle.</t>
        </is>
      </c>
      <c r="M189" s="5" t="inlineStr">
        <is>
          <t>EV-MATCH-001</t>
        </is>
      </c>
      <c r="N189" s="5" t="inlineStr">
        <is>
          <t>Pass</t>
        </is>
      </c>
      <c r="O189" s="5" t="inlineStr"/>
      <c r="P189" s="10" t="n">
        <v>1.9</v>
      </c>
      <c r="Q189" s="11" t="inlineStr"/>
      <c r="R189" s="12" t="n">
        <v>46275</v>
      </c>
      <c r="S189" s="5" t="inlineStr"/>
      <c r="T189" s="12" t="inlineStr"/>
      <c r="U189" s="5" t="inlineStr">
        <is>
          <t>Evaluated output case against healthy API and scoring services.</t>
        </is>
      </c>
    </row>
    <row r="190">
      <c r="A190" s="4" t="inlineStr">
        <is>
          <t>ME-13-3</t>
        </is>
      </c>
      <c r="B190" s="5" t="inlineStr">
        <is>
          <t>Matching Engine</t>
        </is>
      </c>
      <c r="C190" s="5" t="inlineStr">
        <is>
          <t>Ineligible gate</t>
        </is>
      </c>
      <c r="D190" s="5" t="inlineStr">
        <is>
          <t>Development Team</t>
        </is>
      </c>
      <c r="E190" s="5" t="inlineStr">
        <is>
          <t>Critical</t>
        </is>
      </c>
      <c r="F190" s="5" t="inlineStr">
        <is>
          <t>N/A</t>
        </is>
      </c>
      <c r="G190" s="5" t="inlineStr">
        <is>
          <t>Deterministic API test</t>
        </is>
      </c>
      <c r="H190" s="5" t="inlineStr">
        <is>
          <t>Published controlled opportunity exists for Rotating Chef - Self service, Banquet &amp; other; versioned scoring rules and weights are recorded.</t>
        </is>
      </c>
      <c r="I190" s="5" t="inlineStr">
        <is>
          <t>Rotating Chef - Self service, Banquet &amp; other: Candidate fails one configured required education/ability or mandatory unsafe-task gate.</t>
        </is>
      </c>
      <c r="J190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0" s="5" t="inlineStr">
        <is>
          <t>Eligibility fails explicitly even if other weighted components score highly.</t>
        </is>
      </c>
      <c r="L190" s="5" t="inlineStr">
        <is>
          <t>Validated 4 deployed offer(s): 1 eligible and 3 ineligible. Formula components, feasibility factors, explanations and the repeated deterministic response matched the independent oracle.</t>
        </is>
      </c>
      <c r="M190" s="5" t="inlineStr">
        <is>
          <t>EV-MATCH-001</t>
        </is>
      </c>
      <c r="N190" s="5" t="inlineStr">
        <is>
          <t>Pass</t>
        </is>
      </c>
      <c r="O190" s="5" t="inlineStr"/>
      <c r="P190" s="10" t="n">
        <v>2.1</v>
      </c>
      <c r="Q190" s="11" t="inlineStr"/>
      <c r="R190" s="12" t="n">
        <v>46275</v>
      </c>
      <c r="S190" s="5" t="inlineStr"/>
      <c r="T190" s="12" t="inlineStr"/>
      <c r="U190" s="5" t="inlineStr">
        <is>
          <t>Evaluated output case against healthy API and scoring services.</t>
        </is>
      </c>
    </row>
    <row r="191">
      <c r="A191" s="4" t="inlineStr">
        <is>
          <t>ME-14-1</t>
        </is>
      </c>
      <c r="B191" s="5" t="inlineStr">
        <is>
          <t>Matching Engine</t>
        </is>
      </c>
      <c r="C191" s="5" t="inlineStr">
        <is>
          <t>Independent</t>
        </is>
      </c>
      <c r="D191" s="5" t="inlineStr">
        <is>
          <t>Development Team</t>
        </is>
      </c>
      <c r="E191" s="5" t="inlineStr">
        <is>
          <t>Critical</t>
        </is>
      </c>
      <c r="F191" s="5" t="inlineStr">
        <is>
          <t>N/A</t>
        </is>
      </c>
      <c r="G191" s="5" t="inlineStr">
        <is>
          <t>Deterministic API test</t>
        </is>
      </c>
      <c r="H191" s="5" t="inlineStr">
        <is>
          <t>Published controlled opportunity exists for Sommelier; versioned scoring rules and weights are recorded.</t>
        </is>
      </c>
      <c r="I191" s="5" t="inlineStr">
        <is>
          <t>Sommelier: Candidate independently meets configured tasks and abilities.</t>
        </is>
      </c>
      <c r="J191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1" s="5" t="inlineStr">
        <is>
          <t>Displayed score equals the manual weighted oracle; eligibility passes.</t>
        </is>
      </c>
      <c r="L191" s="5" t="inlineStr">
        <is>
          <t>Validated 4 deployed offer(s): 4 eligible and 0 ineligible. Formula components, feasibility factors, explanations and the repeated deterministic response matched the independent oracle.</t>
        </is>
      </c>
      <c r="M191" s="5" t="inlineStr">
        <is>
          <t>EV-MATCH-001</t>
        </is>
      </c>
      <c r="N191" s="5" t="inlineStr">
        <is>
          <t>Pass</t>
        </is>
      </c>
      <c r="O191" s="5" t="inlineStr"/>
      <c r="P191" s="10" t="n">
        <v>1.5</v>
      </c>
      <c r="Q191" s="11" t="inlineStr"/>
      <c r="R191" s="12" t="n">
        <v>46275</v>
      </c>
      <c r="S191" s="5" t="inlineStr"/>
      <c r="T191" s="12" t="inlineStr"/>
      <c r="U191" s="5" t="inlineStr">
        <is>
          <t>Evaluated output case against healthy API and scoring services.</t>
        </is>
      </c>
    </row>
    <row r="192">
      <c r="A192" s="4" t="inlineStr">
        <is>
          <t>ME-14-2</t>
        </is>
      </c>
      <c r="B192" s="5" t="inlineStr">
        <is>
          <t>Matching Engine</t>
        </is>
      </c>
      <c r="C192" s="5" t="inlineStr">
        <is>
          <t>With support</t>
        </is>
      </c>
      <c r="D192" s="5" t="inlineStr">
        <is>
          <t>Development Team</t>
        </is>
      </c>
      <c r="E192" s="5" t="inlineStr">
        <is>
          <t>Critical</t>
        </is>
      </c>
      <c r="F192" s="5" t="inlineStr">
        <is>
          <t>N/A</t>
        </is>
      </c>
      <c r="G192" s="5" t="inlineStr">
        <is>
          <t>Deterministic API test</t>
        </is>
      </c>
      <c r="H192" s="5" t="inlineStr">
        <is>
          <t>Published controlled opportunity exists for Sommelier; versioned scoring rules and weights are recorded.</t>
        </is>
      </c>
      <c r="I192" s="5" t="inlineStr">
        <is>
          <t>Sommelier: Candidate can perform selected tasks with offered assistance.</t>
        </is>
      </c>
      <c r="J192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2" s="5" t="inlineStr">
        <is>
          <t>The 0.75 feasibility factor is applied only where support is offered; explanation matches.</t>
        </is>
      </c>
      <c r="L192" s="5" t="inlineStr">
        <is>
          <t>Validated 4 deployed offer(s): 1 eligible and 3 ineligible. Formula components, feasibility factors, explanations and the repeated deterministic response matched the independent oracle.</t>
        </is>
      </c>
      <c r="M192" s="5" t="inlineStr">
        <is>
          <t>EV-MATCH-001</t>
        </is>
      </c>
      <c r="N192" s="5" t="inlineStr">
        <is>
          <t>Pass</t>
        </is>
      </c>
      <c r="O192" s="5" t="inlineStr"/>
      <c r="P192" s="10" t="n">
        <v>1.5</v>
      </c>
      <c r="Q192" s="11" t="inlineStr"/>
      <c r="R192" s="12" t="n">
        <v>46275</v>
      </c>
      <c r="S192" s="5" t="inlineStr"/>
      <c r="T192" s="12" t="inlineStr"/>
      <c r="U192" s="5" t="inlineStr">
        <is>
          <t>Evaluated output case against healthy API and scoring services.</t>
        </is>
      </c>
    </row>
    <row r="193">
      <c r="A193" s="4" t="inlineStr">
        <is>
          <t>ME-14-3</t>
        </is>
      </c>
      <c r="B193" s="5" t="inlineStr">
        <is>
          <t>Matching Engine</t>
        </is>
      </c>
      <c r="C193" s="5" t="inlineStr">
        <is>
          <t>Ineligible gate</t>
        </is>
      </c>
      <c r="D193" s="5" t="inlineStr">
        <is>
          <t>Development Team</t>
        </is>
      </c>
      <c r="E193" s="5" t="inlineStr">
        <is>
          <t>Critical</t>
        </is>
      </c>
      <c r="F193" s="5" t="inlineStr">
        <is>
          <t>N/A</t>
        </is>
      </c>
      <c r="G193" s="5" t="inlineStr">
        <is>
          <t>Deterministic API test</t>
        </is>
      </c>
      <c r="H193" s="5" t="inlineStr">
        <is>
          <t>Published controlled opportunity exists for Sommelier; versioned scoring rules and weights are recorded.</t>
        </is>
      </c>
      <c r="I193" s="5" t="inlineStr">
        <is>
          <t>Sommelier: Candidate fails one configured required education/ability or mandatory unsafe-task gate.</t>
        </is>
      </c>
      <c r="J193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3" s="5" t="inlineStr">
        <is>
          <t>Eligibility fails explicitly even if other weighted components score highly.</t>
        </is>
      </c>
      <c r="L193" s="5" t="inlineStr">
        <is>
          <t>Validated 4 deployed offer(s): 0 eligible and 4 ineligible. Formula components, feasibility factors, explanations and the repeated deterministic response matched the independent oracle.</t>
        </is>
      </c>
      <c r="M193" s="5" t="inlineStr">
        <is>
          <t>EV-MATCH-001</t>
        </is>
      </c>
      <c r="N193" s="5" t="inlineStr">
        <is>
          <t>Pass</t>
        </is>
      </c>
      <c r="O193" s="5" t="inlineStr"/>
      <c r="P193" s="10" t="n">
        <v>1.4</v>
      </c>
      <c r="Q193" s="11" t="inlineStr"/>
      <c r="R193" s="12" t="n">
        <v>46275</v>
      </c>
      <c r="S193" s="5" t="inlineStr"/>
      <c r="T193" s="12" t="inlineStr"/>
      <c r="U193" s="5" t="inlineStr">
        <is>
          <t>Evaluated output case against healthy API and scoring services.</t>
        </is>
      </c>
    </row>
    <row r="194">
      <c r="A194" s="4" t="inlineStr">
        <is>
          <t>ME-15-1</t>
        </is>
      </c>
      <c r="B194" s="5" t="inlineStr">
        <is>
          <t>Matching Engine</t>
        </is>
      </c>
      <c r="C194" s="5" t="inlineStr">
        <is>
          <t>Independent</t>
        </is>
      </c>
      <c r="D194" s="5" t="inlineStr">
        <is>
          <t>Development Team</t>
        </is>
      </c>
      <c r="E194" s="5" t="inlineStr">
        <is>
          <t>Critical</t>
        </is>
      </c>
      <c r="F194" s="5" t="inlineStr">
        <is>
          <t>N/A</t>
        </is>
      </c>
      <c r="G194" s="5" t="inlineStr">
        <is>
          <t>Deterministic API test</t>
        </is>
      </c>
      <c r="H194" s="5" t="inlineStr">
        <is>
          <t>Published controlled opportunity exists for Vegetable Preparation; versioned scoring rules and weights are recorded.</t>
        </is>
      </c>
      <c r="I194" s="5" t="inlineStr">
        <is>
          <t>Vegetable Preparation: Candidate independently meets configured tasks and abilities.</t>
        </is>
      </c>
      <c r="J194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4" s="5" t="inlineStr">
        <is>
          <t>Displayed score equals the manual weighted oracle; eligibility passes.</t>
        </is>
      </c>
      <c r="L194" s="5" t="inlineStr">
        <is>
          <t>Validated 4 deployed offer(s): 4 eligible and 0 ineligible. Formula components, feasibility factors, explanations and the repeated deterministic response matched the independent oracle.</t>
        </is>
      </c>
      <c r="M194" s="5" t="inlineStr">
        <is>
          <t>EV-MATCH-001</t>
        </is>
      </c>
      <c r="N194" s="5" t="inlineStr">
        <is>
          <t>Pass</t>
        </is>
      </c>
      <c r="O194" s="5" t="inlineStr"/>
      <c r="P194" s="10" t="n">
        <v>1.3</v>
      </c>
      <c r="Q194" s="11" t="inlineStr"/>
      <c r="R194" s="12" t="n">
        <v>46275</v>
      </c>
      <c r="S194" s="5" t="inlineStr"/>
      <c r="T194" s="12" t="inlineStr"/>
      <c r="U194" s="5" t="inlineStr">
        <is>
          <t>Evaluated output case against healthy API and scoring services.</t>
        </is>
      </c>
    </row>
    <row r="195">
      <c r="A195" s="4" t="inlineStr">
        <is>
          <t>ME-15-2</t>
        </is>
      </c>
      <c r="B195" s="5" t="inlineStr">
        <is>
          <t>Matching Engine</t>
        </is>
      </c>
      <c r="C195" s="5" t="inlineStr">
        <is>
          <t>With support</t>
        </is>
      </c>
      <c r="D195" s="5" t="inlineStr">
        <is>
          <t>Development Team</t>
        </is>
      </c>
      <c r="E195" s="5" t="inlineStr">
        <is>
          <t>Critical</t>
        </is>
      </c>
      <c r="F195" s="5" t="inlineStr">
        <is>
          <t>N/A</t>
        </is>
      </c>
      <c r="G195" s="5" t="inlineStr">
        <is>
          <t>Deterministic API test</t>
        </is>
      </c>
      <c r="H195" s="5" t="inlineStr">
        <is>
          <t>Published controlled opportunity exists for Vegetable Preparation; versioned scoring rules and weights are recorded.</t>
        </is>
      </c>
      <c r="I195" s="5" t="inlineStr">
        <is>
          <t>Vegetable Preparation: Candidate can perform selected tasks with offered assistance.</t>
        </is>
      </c>
      <c r="J195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5" s="5" t="inlineStr">
        <is>
          <t>The 0.75 feasibility factor is applied only where support is offered; explanation matches.</t>
        </is>
      </c>
      <c r="L195" s="5" t="inlineStr">
        <is>
          <t>Validated 4 deployed offer(s): 3 eligible and 1 ineligible. Formula components, feasibility factors, explanations and the repeated deterministic response matched the independent oracle.</t>
        </is>
      </c>
      <c r="M195" s="5" t="inlineStr">
        <is>
          <t>EV-MATCH-001</t>
        </is>
      </c>
      <c r="N195" s="5" t="inlineStr">
        <is>
          <t>Pass</t>
        </is>
      </c>
      <c r="O195" s="5" t="inlineStr"/>
      <c r="P195" s="10" t="n">
        <v>1.5</v>
      </c>
      <c r="Q195" s="11" t="inlineStr"/>
      <c r="R195" s="12" t="n">
        <v>46275</v>
      </c>
      <c r="S195" s="5" t="inlineStr"/>
      <c r="T195" s="12" t="inlineStr"/>
      <c r="U195" s="5" t="inlineStr">
        <is>
          <t>Evaluated output case against healthy API and scoring services.</t>
        </is>
      </c>
    </row>
    <row r="196">
      <c r="A196" s="4" t="inlineStr">
        <is>
          <t>ME-15-3</t>
        </is>
      </c>
      <c r="B196" s="5" t="inlineStr">
        <is>
          <t>Matching Engine</t>
        </is>
      </c>
      <c r="C196" s="5" t="inlineStr">
        <is>
          <t>Ineligible gate</t>
        </is>
      </c>
      <c r="D196" s="5" t="inlineStr">
        <is>
          <t>Development Team</t>
        </is>
      </c>
      <c r="E196" s="5" t="inlineStr">
        <is>
          <t>Critical</t>
        </is>
      </c>
      <c r="F196" s="5" t="inlineStr">
        <is>
          <t>N/A</t>
        </is>
      </c>
      <c r="G196" s="5" t="inlineStr">
        <is>
          <t>Deterministic API test</t>
        </is>
      </c>
      <c r="H196" s="5" t="inlineStr">
        <is>
          <t>Published controlled opportunity exists for Vegetable Preparation; versioned scoring rules and weights are recorded.</t>
        </is>
      </c>
      <c r="I196" s="5" t="inlineStr">
        <is>
          <t>Vegetable Preparation: Candidate fails one configured required education/ability or mandatory unsafe-task gate.</t>
        </is>
      </c>
      <c r="J196" s="5" t="inlineStr">
        <is>
          <t>Build the controlled candidate/job input; calculate the expected score manually; call matching; compare eligibility, total percentage, component percentages and explanation; repeat once to confirm determinism.</t>
        </is>
      </c>
      <c r="K196" s="5" t="inlineStr">
        <is>
          <t>Eligibility fails explicitly even if other weighted components score highly.</t>
        </is>
      </c>
      <c r="L196" s="5" t="inlineStr">
        <is>
          <t>Validated 4 deployed offer(s): 1 eligible and 3 ineligible. Formula components, feasibility factors, explanations and the repeated deterministic response matched the independent oracle.</t>
        </is>
      </c>
      <c r="M196" s="5" t="inlineStr">
        <is>
          <t>EV-MATCH-001</t>
        </is>
      </c>
      <c r="N196" s="5" t="inlineStr">
        <is>
          <t>Pass</t>
        </is>
      </c>
      <c r="O196" s="5" t="inlineStr"/>
      <c r="P196" s="10" t="n">
        <v>1.4</v>
      </c>
      <c r="Q196" s="11" t="inlineStr"/>
      <c r="R196" s="12" t="n">
        <v>46275</v>
      </c>
      <c r="S196" s="5" t="inlineStr"/>
      <c r="T196" s="12" t="inlineStr"/>
      <c r="U196" s="5" t="inlineStr">
        <is>
          <t>Evaluated output case against healthy API and scoring services.</t>
        </is>
      </c>
    </row>
    <row r="197">
      <c r="A197" s="4" t="inlineStr">
        <is>
          <t>WF-PUB-01</t>
        </is>
      </c>
      <c r="B197" s="5" t="inlineStr">
        <is>
          <t>Complete Workflows</t>
        </is>
      </c>
      <c r="C197" s="5" t="inlineStr">
        <is>
          <t>Public</t>
        </is>
      </c>
      <c r="D197" s="5" t="inlineStr">
        <is>
          <t>Development Team</t>
        </is>
      </c>
      <c r="E197" s="5" t="inlineStr">
        <is>
          <t>Critical</t>
        </is>
      </c>
      <c r="F197" s="5" t="inlineStr">
        <is>
          <t>English baseline; repeat key UI in French/Arabic</t>
        </is>
      </c>
      <c r="G197" s="5" t="inlineStr">
        <is>
          <t>Local and staging</t>
        </is>
      </c>
      <c r="H197" s="5" t="inlineStr">
        <is>
          <t>Required fixture accounts and controlled catalogue data exist.</t>
        </is>
      </c>
      <c r="I197" s="5" t="inlineStr">
        <is>
          <t>Browse published work opportunities without signing in.</t>
        </is>
      </c>
      <c r="J197" s="5" t="inlineStr">
        <is>
          <t>Execute the complete journey from its initial state; verify each UI response and corresponding API/database state; save one representative screenshot and any failure evidence.</t>
        </is>
      </c>
      <c r="K197" s="5" t="inlineStr">
        <is>
          <t>Only public safe fields are visible.</t>
        </is>
      </c>
      <c r="L197" s="5" t="inlineStr">
        <is>
          <t>Anonymous published-opportunity request returned HTTP 200, 74 records and no known private identity fields.</t>
        </is>
      </c>
      <c r="M197" s="5" t="inlineStr">
        <is>
          <t>EV-WF-001</t>
        </is>
      </c>
      <c r="N197" s="5" t="inlineStr">
        <is>
          <t>Pass</t>
        </is>
      </c>
      <c r="O197" s="5" t="inlineStr"/>
      <c r="P197" s="10" t="inlineStr"/>
      <c r="Q197" s="11" t="inlineStr"/>
      <c r="R197" s="12" t="n">
        <v>46275</v>
      </c>
      <c r="S197" s="5" t="inlineStr"/>
      <c r="T197" s="12" t="inlineStr"/>
      <c r="U197" s="5" t="inlineStr">
        <is>
          <t>Evaluated deployed workflow output with synthetic data; state-changing records were removed after execution.</t>
        </is>
      </c>
    </row>
    <row r="198">
      <c r="A198" s="4" t="inlineStr">
        <is>
          <t>WF-PUB-02</t>
        </is>
      </c>
      <c r="B198" s="5" t="inlineStr">
        <is>
          <t>Complete Workflows</t>
        </is>
      </c>
      <c r="C198" s="5" t="inlineStr">
        <is>
          <t>Public</t>
        </is>
      </c>
      <c r="D198" s="5" t="inlineStr">
        <is>
          <t>Development Team</t>
        </is>
      </c>
      <c r="E198" s="5" t="inlineStr">
        <is>
          <t>Critical</t>
        </is>
      </c>
      <c r="F198" s="5" t="inlineStr">
        <is>
          <t>English baseline; repeat key UI in French/Arabic</t>
        </is>
      </c>
      <c r="G198" s="5" t="inlineStr">
        <is>
          <t>Local and staging</t>
        </is>
      </c>
      <c r="H198" s="5" t="inlineStr">
        <is>
          <t>Required fixture accounts and controlled catalogue data exist.</t>
        </is>
      </c>
      <c r="I198" s="5" t="inlineStr">
        <is>
          <t>Attempt to open a protected dashboard anonymously.</t>
        </is>
      </c>
      <c r="J198" s="5" t="inlineStr">
        <is>
          <t>Execute the complete journey from its initial state; verify each UI response and corresponding API/database state; save one representative screenshot and any failure evidence.</t>
        </is>
      </c>
      <c r="K198" s="5" t="inlineStr">
        <is>
          <t>The visitor is redirected to sign-in without private data.</t>
        </is>
      </c>
      <c r="L198" s="5" t="inlineStr">
        <is>
          <t>Anonymous candidate, employer, administrator and verifier dashboard visits redirected to sign-in without page errors.</t>
        </is>
      </c>
      <c r="M198" s="5" t="inlineStr">
        <is>
          <t>EV-WF-001</t>
        </is>
      </c>
      <c r="N198" s="5" t="inlineStr">
        <is>
          <t>Pass</t>
        </is>
      </c>
      <c r="O198" s="5" t="inlineStr"/>
      <c r="P198" s="10" t="inlineStr"/>
      <c r="Q198" s="11" t="inlineStr"/>
      <c r="R198" s="12" t="n">
        <v>46275</v>
      </c>
      <c r="S198" s="5" t="inlineStr"/>
      <c r="T198" s="12" t="inlineStr"/>
      <c r="U198" s="5" t="inlineStr">
        <is>
          <t>Evaluated deployed workflow output with synthetic data; state-changing records were removed after execution.</t>
        </is>
      </c>
    </row>
    <row r="199">
      <c r="A199" s="4" t="inlineStr">
        <is>
          <t>WF-CAN-01</t>
        </is>
      </c>
      <c r="B199" s="5" t="inlineStr">
        <is>
          <t>Complete Workflows</t>
        </is>
      </c>
      <c r="C199" s="5" t="inlineStr">
        <is>
          <t>Candidate</t>
        </is>
      </c>
      <c r="D199" s="5" t="inlineStr">
        <is>
          <t>Development Team</t>
        </is>
      </c>
      <c r="E199" s="5" t="inlineStr">
        <is>
          <t>Critical</t>
        </is>
      </c>
      <c r="F199" s="5" t="inlineStr">
        <is>
          <t>English baseline; repeat key UI in French/Arabic</t>
        </is>
      </c>
      <c r="G199" s="5" t="inlineStr">
        <is>
          <t>Local and staging</t>
        </is>
      </c>
      <c r="H199" s="5" t="inlineStr">
        <is>
          <t>Required fixture accounts and controlled catalogue data exist.</t>
        </is>
      </c>
      <c r="I199" s="5" t="inlineStr">
        <is>
          <t>Register, verify and sign in as a candidate.</t>
        </is>
      </c>
      <c r="J199" s="5" t="inlineStr">
        <is>
          <t>Execute the complete journey from its initial state; verify each UI response and corresponding API/database state; save one representative screenshot and any failure evidence.</t>
        </is>
      </c>
      <c r="K199" s="5" t="inlineStr">
        <is>
          <t>The verified candidate reaches the correct dashboard.</t>
        </is>
      </c>
      <c r="L199" s="5" t="inlineStr">
        <is>
          <t>A new candidate registration cannot complete email verification and human disability-card approval in staging because outbound email delivery is disabled.</t>
        </is>
      </c>
      <c r="M199" s="5" t="inlineStr">
        <is>
          <t>EV-WF-001</t>
        </is>
      </c>
      <c r="N199" s="5" t="inlineStr">
        <is>
          <t>Blocked</t>
        </is>
      </c>
      <c r="O199" s="5" t="inlineStr"/>
      <c r="P199" s="10" t="inlineStr"/>
      <c r="Q199" s="11" t="inlineStr"/>
      <c r="R199" s="12" t="n">
        <v>46275</v>
      </c>
      <c r="S199" s="5" t="inlineStr"/>
      <c r="T199" s="12" t="inlineStr"/>
      <c r="U199" s="5" t="inlineStr">
        <is>
          <t>Excluded from the executed workflow rate because an isolated staging precondition is unavailable.</t>
        </is>
      </c>
    </row>
    <row r="200">
      <c r="A200" s="4" t="inlineStr">
        <is>
          <t>WF-CAN-02</t>
        </is>
      </c>
      <c r="B200" s="5" t="inlineStr">
        <is>
          <t>Complete Workflows</t>
        </is>
      </c>
      <c r="C200" s="5" t="inlineStr">
        <is>
          <t>Candidate</t>
        </is>
      </c>
      <c r="D200" s="5" t="inlineStr">
        <is>
          <t>Development Team</t>
        </is>
      </c>
      <c r="E200" s="5" t="inlineStr">
        <is>
          <t>Critical</t>
        </is>
      </c>
      <c r="F200" s="5" t="inlineStr">
        <is>
          <t>English baseline; repeat key UI in French/Arabic</t>
        </is>
      </c>
      <c r="G200" s="5" t="inlineStr">
        <is>
          <t>Local and staging</t>
        </is>
      </c>
      <c r="H200" s="5" t="inlineStr">
        <is>
          <t>Required fixture accounts and controlled catalogue data exist.</t>
        </is>
      </c>
      <c r="I200" s="5" t="inlineStr">
        <is>
          <t>Reset and rebuild the complete candidate profile.</t>
        </is>
      </c>
      <c r="J200" s="5" t="inlineStr">
        <is>
          <t>Execute the complete journey from its initial state; verify each UI response and corresponding API/database state; save one representative screenshot and any failure evidence.</t>
        </is>
      </c>
      <c r="K200" s="5" t="inlineStr">
        <is>
          <t>Old selections are cleared and the new profile saves once.</t>
        </is>
      </c>
      <c r="L200" s="5" t="inlineStr">
        <is>
          <t>Reset then complete profile rebuild returned HTTP 200; retrieved identity, disability and position selections matched=true.</t>
        </is>
      </c>
      <c r="M200" s="5" t="inlineStr">
        <is>
          <t>EV-WF-001</t>
        </is>
      </c>
      <c r="N200" s="5" t="inlineStr">
        <is>
          <t>Pass</t>
        </is>
      </c>
      <c r="O200" s="5" t="inlineStr"/>
      <c r="P200" s="10" t="inlineStr"/>
      <c r="Q200" s="11" t="inlineStr"/>
      <c r="R200" s="12" t="n">
        <v>46275</v>
      </c>
      <c r="S200" s="5" t="inlineStr"/>
      <c r="T200" s="12" t="inlineStr"/>
      <c r="U200" s="5" t="inlineStr">
        <is>
          <t>Evaluated deployed workflow output with synthetic data; state-changing records were removed after execution.</t>
        </is>
      </c>
    </row>
    <row r="201">
      <c r="A201" s="4" t="inlineStr">
        <is>
          <t>WF-CAN-03</t>
        </is>
      </c>
      <c r="B201" s="5" t="inlineStr">
        <is>
          <t>Complete Workflows</t>
        </is>
      </c>
      <c r="C201" s="5" t="inlineStr">
        <is>
          <t>Candidate</t>
        </is>
      </c>
      <c r="D201" s="5" t="inlineStr">
        <is>
          <t>Development Team</t>
        </is>
      </c>
      <c r="E201" s="5" t="inlineStr">
        <is>
          <t>Critical</t>
        </is>
      </c>
      <c r="F201" s="5" t="inlineStr">
        <is>
          <t>English baseline; repeat key UI in French/Arabic</t>
        </is>
      </c>
      <c r="G201" s="5" t="inlineStr">
        <is>
          <t>Local and staging</t>
        </is>
      </c>
      <c r="H201" s="5" t="inlineStr">
        <is>
          <t>Required fixture accounts and controlled catalogue data exist.</t>
        </is>
      </c>
      <c r="I201" s="5" t="inlineStr">
        <is>
          <t>Create, review, edit and confirm AI profile suggestions.</t>
        </is>
      </c>
      <c r="J201" s="5" t="inlineStr">
        <is>
          <t>Execute the complete journey from its initial state; verify each UI response and corresponding API/database state; save one representative screenshot and any failure evidence.</t>
        </is>
      </c>
      <c r="K201" s="5" t="inlineStr">
        <is>
          <t>Only confirmed edited items are saved.</t>
        </is>
      </c>
      <c r="L201" s="5" t="inlineStr">
        <is>
          <t>The deployed browser completed consent, produced structured reviewable suggestions, confirmed the selected items and verified the saved profile; screenshots were captured before and after confirmation.</t>
        </is>
      </c>
      <c r="M201" s="5" t="inlineStr">
        <is>
          <t>EV-WF-001</t>
        </is>
      </c>
      <c r="N201" s="5" t="inlineStr">
        <is>
          <t>Pass</t>
        </is>
      </c>
      <c r="O201" s="5" t="inlineStr"/>
      <c r="P201" s="10" t="inlineStr"/>
      <c r="Q201" s="11" t="inlineStr"/>
      <c r="R201" s="12" t="n">
        <v>46275</v>
      </c>
      <c r="S201" s="5" t="inlineStr"/>
      <c r="T201" s="12" t="inlineStr"/>
      <c r="U201" s="5" t="inlineStr">
        <is>
          <t>Evaluated deployed workflow output with synthetic data; state-changing records were removed after execution.</t>
        </is>
      </c>
    </row>
    <row r="202">
      <c r="A202" s="4" t="inlineStr">
        <is>
          <t>WF-CAN-04</t>
        </is>
      </c>
      <c r="B202" s="5" t="inlineStr">
        <is>
          <t>Complete Workflows</t>
        </is>
      </c>
      <c r="C202" s="5" t="inlineStr">
        <is>
          <t>Candidate</t>
        </is>
      </c>
      <c r="D202" s="5" t="inlineStr">
        <is>
          <t>Development Team</t>
        </is>
      </c>
      <c r="E202" s="5" t="inlineStr">
        <is>
          <t>Critical</t>
        </is>
      </c>
      <c r="F202" s="5" t="inlineStr">
        <is>
          <t>English baseline; repeat key UI in French/Arabic</t>
        </is>
      </c>
      <c r="G202" s="5" t="inlineStr">
        <is>
          <t>Local and staging</t>
        </is>
      </c>
      <c r="H202" s="5" t="inlineStr">
        <is>
          <t>Required fixture accounts and controlled catalogue data exist.</t>
        </is>
      </c>
      <c r="I202" s="5" t="inlineStr">
        <is>
          <t>Match and open a work opportunity.</t>
        </is>
      </c>
      <c r="J202" s="5" t="inlineStr">
        <is>
          <t>Execute the complete journey from its initial state; verify each UI response and corresponding API/database state; save one representative screenshot and any failure evidence.</t>
        </is>
      </c>
      <c r="K202" s="5" t="inlineStr">
        <is>
          <t>The result, score and explanation correspond to the saved profile.</t>
        </is>
      </c>
      <c r="L202" s="5" t="inlineStr">
        <is>
          <t>Work matching returned HTTP 200; target result found=true; corresponding opportunity details opened=true; score/explanation present=true.</t>
        </is>
      </c>
      <c r="M202" s="5" t="inlineStr">
        <is>
          <t>EV-WF-001</t>
        </is>
      </c>
      <c r="N202" s="5" t="inlineStr">
        <is>
          <t>Pass</t>
        </is>
      </c>
      <c r="O202" s="5" t="inlineStr"/>
      <c r="P202" s="10" t="inlineStr"/>
      <c r="Q202" s="11" t="inlineStr"/>
      <c r="R202" s="12" t="n">
        <v>46275</v>
      </c>
      <c r="S202" s="5" t="inlineStr"/>
      <c r="T202" s="12" t="inlineStr"/>
      <c r="U202" s="5" t="inlineStr">
        <is>
          <t>Evaluated deployed workflow output with synthetic data; state-changing records were removed after execution.</t>
        </is>
      </c>
    </row>
    <row r="203">
      <c r="A203" s="4" t="inlineStr">
        <is>
          <t>WF-CAN-05</t>
        </is>
      </c>
      <c r="B203" s="5" t="inlineStr">
        <is>
          <t>Complete Workflows</t>
        </is>
      </c>
      <c r="C203" s="5" t="inlineStr">
        <is>
          <t>Candidate</t>
        </is>
      </c>
      <c r="D203" s="5" t="inlineStr">
        <is>
          <t>Development Team</t>
        </is>
      </c>
      <c r="E203" s="5" t="inlineStr">
        <is>
          <t>Critical</t>
        </is>
      </c>
      <c r="F203" s="5" t="inlineStr">
        <is>
          <t>English baseline; repeat key UI in French/Arabic</t>
        </is>
      </c>
      <c r="G203" s="5" t="inlineStr">
        <is>
          <t>Local and staging</t>
        </is>
      </c>
      <c r="H203" s="5" t="inlineStr">
        <is>
          <t>Required fixture accounts and controlled catalogue data exist.</t>
        </is>
      </c>
      <c r="I203" s="5" t="inlineStr">
        <is>
          <t>Match and open a training opportunity.</t>
        </is>
      </c>
      <c r="J203" s="5" t="inlineStr">
        <is>
          <t>Execute the complete journey from its initial state; verify each UI response and corresponding API/database state; save one representative screenshot and any failure evidence.</t>
        </is>
      </c>
      <c r="K203" s="5" t="inlineStr">
        <is>
          <t>Training preference filters and opens the correct opportunity.</t>
        </is>
      </c>
      <c r="L203" s="5" t="inlineStr">
        <is>
          <t>Training-only matching returned HTTP 200; training result found and opened=true.</t>
        </is>
      </c>
      <c r="M203" s="5" t="inlineStr">
        <is>
          <t>EV-WF-001</t>
        </is>
      </c>
      <c r="N203" s="5" t="inlineStr">
        <is>
          <t>Pass</t>
        </is>
      </c>
      <c r="O203" s="5" t="inlineStr"/>
      <c r="P203" s="10" t="inlineStr"/>
      <c r="Q203" s="11" t="inlineStr"/>
      <c r="R203" s="12" t="n">
        <v>46275</v>
      </c>
      <c r="S203" s="5" t="inlineStr"/>
      <c r="T203" s="12" t="inlineStr"/>
      <c r="U203" s="5" t="inlineStr">
        <is>
          <t>Evaluated deployed workflow output with synthetic data; state-changing records were removed after execution.</t>
        </is>
      </c>
    </row>
    <row r="204">
      <c r="A204" s="4" t="inlineStr">
        <is>
          <t>WF-CAN-06</t>
        </is>
      </c>
      <c r="B204" s="5" t="inlineStr">
        <is>
          <t>Complete Workflows</t>
        </is>
      </c>
      <c r="C204" s="5" t="inlineStr">
        <is>
          <t>Candidate</t>
        </is>
      </c>
      <c r="D204" s="5" t="inlineStr">
        <is>
          <t>Development Team</t>
        </is>
      </c>
      <c r="E204" s="5" t="inlineStr">
        <is>
          <t>Critical</t>
        </is>
      </c>
      <c r="F204" s="5" t="inlineStr">
        <is>
          <t>English baseline; repeat key UI in French/Arabic</t>
        </is>
      </c>
      <c r="G204" s="5" t="inlineStr">
        <is>
          <t>Local and staging</t>
        </is>
      </c>
      <c r="H204" s="5" t="inlineStr">
        <is>
          <t>Required fixture accounts and controlled catalogue data exist.</t>
        </is>
      </c>
      <c r="I204" s="5" t="inlineStr">
        <is>
          <t>Submit a valid application with documents.</t>
        </is>
      </c>
      <c r="J204" s="5" t="inlineStr">
        <is>
          <t>Execute the complete journey from its initial state; verify each UI response and corresponding API/database state; save one representative screenshot and any failure evidence.</t>
        </is>
      </c>
      <c r="K204" s="5" t="inlineStr">
        <is>
          <t>One application is stored and acknowledged.</t>
        </is>
      </c>
      <c r="L204" s="5" t="inlineStr">
        <is>
          <t>Valid PDF application returned HTTP 201; one stored application found=true; private document recorded=true.</t>
        </is>
      </c>
      <c r="M204" s="5" t="inlineStr">
        <is>
          <t>EV-WF-001</t>
        </is>
      </c>
      <c r="N204" s="5" t="inlineStr">
        <is>
          <t>Pass</t>
        </is>
      </c>
      <c r="O204" s="5" t="inlineStr"/>
      <c r="P204" s="10" t="inlineStr"/>
      <c r="Q204" s="11" t="inlineStr"/>
      <c r="R204" s="12" t="n">
        <v>46275</v>
      </c>
      <c r="S204" s="5" t="inlineStr"/>
      <c r="T204" s="12" t="inlineStr"/>
      <c r="U204" s="5" t="inlineStr">
        <is>
          <t>Evaluated deployed workflow output with synthetic data; state-changing records were removed after execution.</t>
        </is>
      </c>
    </row>
    <row r="205">
      <c r="A205" s="4" t="inlineStr">
        <is>
          <t>WF-CAN-07</t>
        </is>
      </c>
      <c r="B205" s="5" t="inlineStr">
        <is>
          <t>Complete Workflows</t>
        </is>
      </c>
      <c r="C205" s="5" t="inlineStr">
        <is>
          <t>Candidate</t>
        </is>
      </c>
      <c r="D205" s="5" t="inlineStr">
        <is>
          <t>Development Team</t>
        </is>
      </c>
      <c r="E205" s="5" t="inlineStr">
        <is>
          <t>Critical</t>
        </is>
      </c>
      <c r="F205" s="5" t="inlineStr">
        <is>
          <t>English baseline; repeat key UI in French/Arabic</t>
        </is>
      </c>
      <c r="G205" s="5" t="inlineStr">
        <is>
          <t>Local and staging</t>
        </is>
      </c>
      <c r="H205" s="5" t="inlineStr">
        <is>
          <t>Required fixture accounts and controlled catalogue data exist.</t>
        </is>
      </c>
      <c r="I205" s="5" t="inlineStr">
        <is>
          <t>Track the submitted application.</t>
        </is>
      </c>
      <c r="J205" s="5" t="inlineStr">
        <is>
          <t>Execute the complete journey from its initial state; verify each UI response and corresponding API/database state; save one representative screenshot and any failure evidence.</t>
        </is>
      </c>
      <c r="K205" s="5" t="inlineStr">
        <is>
          <t>The latest authorized status is displayed.</t>
        </is>
      </c>
      <c r="L205" s="5" t="inlineStr">
        <is>
          <t>Candidate application tracking returned HTTP 200; newly submitted pending record visible=true.</t>
        </is>
      </c>
      <c r="M205" s="5" t="inlineStr">
        <is>
          <t>EV-WF-001</t>
        </is>
      </c>
      <c r="N205" s="5" t="inlineStr">
        <is>
          <t>Pass</t>
        </is>
      </c>
      <c r="O205" s="5" t="inlineStr"/>
      <c r="P205" s="10" t="inlineStr"/>
      <c r="Q205" s="11" t="inlineStr"/>
      <c r="R205" s="12" t="n">
        <v>46275</v>
      </c>
      <c r="S205" s="5" t="inlineStr"/>
      <c r="T205" s="12" t="inlineStr"/>
      <c r="U205" s="5" t="inlineStr">
        <is>
          <t>Evaluated deployed workflow output with synthetic data; state-changing records were removed after execution.</t>
        </is>
      </c>
    </row>
    <row r="206">
      <c r="A206" s="4" t="inlineStr">
        <is>
          <t>WF-EMP-01</t>
        </is>
      </c>
      <c r="B206" s="5" t="inlineStr">
        <is>
          <t>Complete Workflows</t>
        </is>
      </c>
      <c r="C206" s="5" t="inlineStr">
        <is>
          <t>Employer</t>
        </is>
      </c>
      <c r="D206" s="5" t="inlineStr">
        <is>
          <t>Development Team</t>
        </is>
      </c>
      <c r="E206" s="5" t="inlineStr">
        <is>
          <t>Critical</t>
        </is>
      </c>
      <c r="F206" s="5" t="inlineStr">
        <is>
          <t>English baseline; repeat key UI in French/Arabic</t>
        </is>
      </c>
      <c r="G206" s="5" t="inlineStr">
        <is>
          <t>Local and staging</t>
        </is>
      </c>
      <c r="H206" s="5" t="inlineStr">
        <is>
          <t>Required fixture accounts and controlled catalogue data exist.</t>
        </is>
      </c>
      <c r="I206" s="5" t="inlineStr">
        <is>
          <t>Complete or update the company profile.</t>
        </is>
      </c>
      <c r="J206" s="5" t="inlineStr">
        <is>
          <t>Execute the complete journey from its initial state; verify each UI response and corresponding API/database state; save one representative screenshot and any failure evidence.</t>
        </is>
      </c>
      <c r="K206" s="5" t="inlineStr">
        <is>
          <t>Validated company information persists correctly.</t>
        </is>
      </c>
      <c r="L206" s="5" t="inlineStr">
        <is>
          <t>Employer profile read, idempotent update and verification returned HTTP 200/200/200; company identity preserved=true.</t>
        </is>
      </c>
      <c r="M206" s="5" t="inlineStr">
        <is>
          <t>EV-WF-001</t>
        </is>
      </c>
      <c r="N206" s="5" t="inlineStr">
        <is>
          <t>Pass</t>
        </is>
      </c>
      <c r="O206" s="5" t="inlineStr"/>
      <c r="P206" s="10" t="inlineStr"/>
      <c r="Q206" s="11" t="inlineStr"/>
      <c r="R206" s="12" t="n">
        <v>46275</v>
      </c>
      <c r="S206" s="5" t="inlineStr"/>
      <c r="T206" s="12" t="inlineStr"/>
      <c r="U206" s="5" t="inlineStr">
        <is>
          <t>Evaluated deployed workflow output with synthetic data; state-changing records were removed after execution.</t>
        </is>
      </c>
    </row>
    <row r="207">
      <c r="A207" s="4" t="inlineStr">
        <is>
          <t>WF-EMP-02</t>
        </is>
      </c>
      <c r="B207" s="5" t="inlineStr">
        <is>
          <t>Complete Workflows</t>
        </is>
      </c>
      <c r="C207" s="5" t="inlineStr">
        <is>
          <t>Employer</t>
        </is>
      </c>
      <c r="D207" s="5" t="inlineStr">
        <is>
          <t>Development Team</t>
        </is>
      </c>
      <c r="E207" s="5" t="inlineStr">
        <is>
          <t>Critical</t>
        </is>
      </c>
      <c r="F207" s="5" t="inlineStr">
        <is>
          <t>English baseline; repeat key UI in French/Arabic</t>
        </is>
      </c>
      <c r="G207" s="5" t="inlineStr">
        <is>
          <t>Local and staging</t>
        </is>
      </c>
      <c r="H207" s="5" t="inlineStr">
        <is>
          <t>Required fixture accounts and controlled catalogue data exist.</t>
        </is>
      </c>
      <c r="I207" s="5" t="inlineStr">
        <is>
          <t>Create and publish a work opportunity.</t>
        </is>
      </c>
      <c r="J207" s="5" t="inlineStr">
        <is>
          <t>Execute the complete journey from its initial state; verify each UI response and corresponding API/database state; save one representative screenshot and any failure evidence.</t>
        </is>
      </c>
      <c r="K207" s="5" t="inlineStr">
        <is>
          <t>The controlled role and tasks are published once.</t>
        </is>
      </c>
      <c r="L207" s="5" t="inlineStr">
        <is>
          <t>Controlled work opportunity creation returned HTTP 201; published work record created=true.</t>
        </is>
      </c>
      <c r="M207" s="5" t="inlineStr">
        <is>
          <t>EV-WF-001</t>
        </is>
      </c>
      <c r="N207" s="5" t="inlineStr">
        <is>
          <t>Pass</t>
        </is>
      </c>
      <c r="O207" s="5" t="inlineStr"/>
      <c r="P207" s="10" t="inlineStr"/>
      <c r="Q207" s="11" t="inlineStr"/>
      <c r="R207" s="12" t="n">
        <v>46275</v>
      </c>
      <c r="S207" s="5" t="inlineStr"/>
      <c r="T207" s="12" t="inlineStr"/>
      <c r="U207" s="5" t="inlineStr">
        <is>
          <t>Evaluated deployed workflow output with synthetic data; state-changing records were removed after execution.</t>
        </is>
      </c>
    </row>
    <row r="208">
      <c r="A208" s="4" t="inlineStr">
        <is>
          <t>WF-EMP-03</t>
        </is>
      </c>
      <c r="B208" s="5" t="inlineStr">
        <is>
          <t>Complete Workflows</t>
        </is>
      </c>
      <c r="C208" s="5" t="inlineStr">
        <is>
          <t>Employer</t>
        </is>
      </c>
      <c r="D208" s="5" t="inlineStr">
        <is>
          <t>Development Team</t>
        </is>
      </c>
      <c r="E208" s="5" t="inlineStr">
        <is>
          <t>Critical</t>
        </is>
      </c>
      <c r="F208" s="5" t="inlineStr">
        <is>
          <t>English baseline; repeat key UI in French/Arabic</t>
        </is>
      </c>
      <c r="G208" s="5" t="inlineStr">
        <is>
          <t>Local and staging</t>
        </is>
      </c>
      <c r="H208" s="5" t="inlineStr">
        <is>
          <t>Required fixture accounts and controlled catalogue data exist.</t>
        </is>
      </c>
      <c r="I208" s="5" t="inlineStr">
        <is>
          <t>Create and publish a hospitality training program.</t>
        </is>
      </c>
      <c r="J208" s="5" t="inlineStr">
        <is>
          <t>Execute the complete journey from its initial state; verify each UI response and corresponding API/database state; save one representative screenshot and any failure evidence.</t>
        </is>
      </c>
      <c r="K208" s="5" t="inlineStr">
        <is>
          <t>The opportunity is identified and filtered as training.</t>
        </is>
      </c>
      <c r="L208" s="5" t="inlineStr">
        <is>
          <t>Hospitality training opportunity creation returned HTTP 201; published training record created=true.</t>
        </is>
      </c>
      <c r="M208" s="5" t="inlineStr">
        <is>
          <t>EV-WF-001</t>
        </is>
      </c>
      <c r="N208" s="5" t="inlineStr">
        <is>
          <t>Pass</t>
        </is>
      </c>
      <c r="O208" s="5" t="inlineStr"/>
      <c r="P208" s="10" t="inlineStr"/>
      <c r="Q208" s="11" t="inlineStr"/>
      <c r="R208" s="12" t="n">
        <v>46275</v>
      </c>
      <c r="S208" s="5" t="inlineStr"/>
      <c r="T208" s="12" t="inlineStr"/>
      <c r="U208" s="5" t="inlineStr">
        <is>
          <t>Evaluated deployed workflow output with synthetic data; state-changing records were removed after execution.</t>
        </is>
      </c>
    </row>
    <row r="209">
      <c r="A209" s="4" t="inlineStr">
        <is>
          <t>WF-EMP-04</t>
        </is>
      </c>
      <c r="B209" s="5" t="inlineStr">
        <is>
          <t>Complete Workflows</t>
        </is>
      </c>
      <c r="C209" s="5" t="inlineStr">
        <is>
          <t>Employer</t>
        </is>
      </c>
      <c r="D209" s="5" t="inlineStr">
        <is>
          <t>Development Team</t>
        </is>
      </c>
      <c r="E209" s="5" t="inlineStr">
        <is>
          <t>Critical</t>
        </is>
      </c>
      <c r="F209" s="5" t="inlineStr">
        <is>
          <t>English baseline; repeat key UI in French/Arabic</t>
        </is>
      </c>
      <c r="G209" s="5" t="inlineStr">
        <is>
          <t>Local and staging</t>
        </is>
      </c>
      <c r="H209" s="5" t="inlineStr">
        <is>
          <t>Required fixture accounts and controlled catalogue data exist.</t>
        </is>
      </c>
      <c r="I209" s="5" t="inlineStr">
        <is>
          <t>Configure education, abilities, important tasks and assistance.</t>
        </is>
      </c>
      <c r="J209" s="5" t="inlineStr">
        <is>
          <t>Execute the complete journey from its initial state; verify each UI response and corresponding API/database state; save one representative screenshot and any failure evidence.</t>
        </is>
      </c>
      <c r="K209" s="5" t="inlineStr">
        <is>
          <t>All controlled requirements persist and feed matching.</t>
        </is>
      </c>
      <c r="L209" s="5" t="inlineStr">
        <is>
          <t>Created opportunity preserved education, three practical/knowledge requirements, assistance and 1 highlighted task(s); configured output matched=true.</t>
        </is>
      </c>
      <c r="M209" s="5" t="inlineStr">
        <is>
          <t>EV-WF-001</t>
        </is>
      </c>
      <c r="N209" s="5" t="inlineStr">
        <is>
          <t>Pass</t>
        </is>
      </c>
      <c r="O209" s="5" t="inlineStr"/>
      <c r="P209" s="10" t="inlineStr"/>
      <c r="Q209" s="11" t="inlineStr"/>
      <c r="R209" s="12" t="n">
        <v>46275</v>
      </c>
      <c r="S209" s="5" t="inlineStr"/>
      <c r="T209" s="12" t="inlineStr"/>
      <c r="U209" s="5" t="inlineStr">
        <is>
          <t>Evaluated deployed workflow output with synthetic data; state-changing records were removed after execution.</t>
        </is>
      </c>
    </row>
    <row r="210">
      <c r="A210" s="4" t="inlineStr">
        <is>
          <t>WF-EMP-05</t>
        </is>
      </c>
      <c r="B210" s="5" t="inlineStr">
        <is>
          <t>Complete Workflows</t>
        </is>
      </c>
      <c r="C210" s="5" t="inlineStr">
        <is>
          <t>Employer</t>
        </is>
      </c>
      <c r="D210" s="5" t="inlineStr">
        <is>
          <t>Development Team</t>
        </is>
      </c>
      <c r="E210" s="5" t="inlineStr">
        <is>
          <t>Critical</t>
        </is>
      </c>
      <c r="F210" s="5" t="inlineStr">
        <is>
          <t>English baseline; repeat key UI in French/Arabic</t>
        </is>
      </c>
      <c r="G210" s="5" t="inlineStr">
        <is>
          <t>Local and staging</t>
        </is>
      </c>
      <c r="H210" s="5" t="inlineStr">
        <is>
          <t>Required fixture accounts and controlled catalogue data exist.</t>
        </is>
      </c>
      <c r="I210" s="5" t="inlineStr">
        <is>
          <t>Review an application and update its status.</t>
        </is>
      </c>
      <c r="J210" s="5" t="inlineStr">
        <is>
          <t>Execute the complete journey from its initial state; verify each UI response and corresponding API/database state; save one representative screenshot and any failure evidence.</t>
        </is>
      </c>
      <c r="K210" s="5" t="inlineStr">
        <is>
          <t>Only an authorized employer changes the valid application.</t>
        </is>
      </c>
      <c r="L210" s="5" t="inlineStr">
        <is>
          <t>Employer status update returned HTTP 200; candidate tracking displayed in_review=true.</t>
        </is>
      </c>
      <c r="M210" s="5" t="inlineStr">
        <is>
          <t>EV-WF-001</t>
        </is>
      </c>
      <c r="N210" s="5" t="inlineStr">
        <is>
          <t>Pass</t>
        </is>
      </c>
      <c r="O210" s="5" t="inlineStr"/>
      <c r="P210" s="10" t="inlineStr"/>
      <c r="Q210" s="11" t="inlineStr"/>
      <c r="R210" s="12" t="n">
        <v>46275</v>
      </c>
      <c r="S210" s="5" t="inlineStr"/>
      <c r="T210" s="12" t="inlineStr"/>
      <c r="U210" s="5" t="inlineStr">
        <is>
          <t>Evaluated deployed workflow output with synthetic data; state-changing records were removed after execution.</t>
        </is>
      </c>
    </row>
    <row r="211">
      <c r="A211" s="4" t="inlineStr">
        <is>
          <t>WF-ADM-01</t>
        </is>
      </c>
      <c r="B211" s="5" t="inlineStr">
        <is>
          <t>Complete Workflows</t>
        </is>
      </c>
      <c r="C211" s="5" t="inlineStr">
        <is>
          <t>Admin</t>
        </is>
      </c>
      <c r="D211" s="5" t="inlineStr">
        <is>
          <t>Development Team</t>
        </is>
      </c>
      <c r="E211" s="5" t="inlineStr">
        <is>
          <t>Critical</t>
        </is>
      </c>
      <c r="F211" s="5" t="inlineStr">
        <is>
          <t>English baseline; repeat key UI in French/Arabic</t>
        </is>
      </c>
      <c r="G211" s="5" t="inlineStr">
        <is>
          <t>Local and staging</t>
        </is>
      </c>
      <c r="H211" s="5" t="inlineStr">
        <is>
          <t>Required fixture accounts and controlled catalogue data exist.</t>
        </is>
      </c>
      <c r="I211" s="5" t="inlineStr">
        <is>
          <t>Open and filter active and archived users.</t>
        </is>
      </c>
      <c r="J211" s="5" t="inlineStr">
        <is>
          <t>Execute the complete journey from its initial state; verify each UI response and corresponding API/database state; save one representative screenshot and any failure evidence.</t>
        </is>
      </c>
      <c r="K211" s="5" t="inlineStr">
        <is>
          <t>Authorized records load without exposing secrets.</t>
        </is>
      </c>
      <c r="L211" s="5" t="inlineStr">
        <is>
          <t>Administrator active/archived filters returned HTTP 200/200 with 9/0 records.</t>
        </is>
      </c>
      <c r="M211" s="5" t="inlineStr">
        <is>
          <t>EV-WF-001</t>
        </is>
      </c>
      <c r="N211" s="5" t="inlineStr">
        <is>
          <t>Pass</t>
        </is>
      </c>
      <c r="O211" s="5" t="inlineStr"/>
      <c r="P211" s="10" t="inlineStr"/>
      <c r="Q211" s="11" t="inlineStr"/>
      <c r="R211" s="12" t="n">
        <v>46275</v>
      </c>
      <c r="S211" s="5" t="inlineStr"/>
      <c r="T211" s="12" t="inlineStr"/>
      <c r="U211" s="5" t="inlineStr">
        <is>
          <t>Evaluated deployed workflow output with synthetic data; state-changing records were removed after execution.</t>
        </is>
      </c>
    </row>
    <row r="212">
      <c r="A212" s="4" t="inlineStr">
        <is>
          <t>WF-ADM-02</t>
        </is>
      </c>
      <c r="B212" s="5" t="inlineStr">
        <is>
          <t>Complete Workflows</t>
        </is>
      </c>
      <c r="C212" s="5" t="inlineStr">
        <is>
          <t>Admin</t>
        </is>
      </c>
      <c r="D212" s="5" t="inlineStr">
        <is>
          <t>Development Team</t>
        </is>
      </c>
      <c r="E212" s="5" t="inlineStr">
        <is>
          <t>Critical</t>
        </is>
      </c>
      <c r="F212" s="5" t="inlineStr">
        <is>
          <t>English baseline; repeat key UI in French/Arabic</t>
        </is>
      </c>
      <c r="G212" s="5" t="inlineStr">
        <is>
          <t>Local and staging</t>
        </is>
      </c>
      <c r="H212" s="5" t="inlineStr">
        <is>
          <t>Required fixture accounts and controlled catalogue data exist.</t>
        </is>
      </c>
      <c r="I212" s="5" t="inlineStr">
        <is>
          <t>Review the controlled role/task catalogue.</t>
        </is>
      </c>
      <c r="J212" s="5" t="inlineStr">
        <is>
          <t>Execute the complete journey from its initial state; verify each UI response and corresponding API/database state; save one representative screenshot and any failure evidence.</t>
        </is>
      </c>
      <c r="K212" s="5" t="inlineStr">
        <is>
          <t>All active definitions and tasks are visible in stable order.</t>
        </is>
      </c>
      <c r="L212" s="5" t="inlineStr">
        <is>
          <t>Catalogue list/detail returned HTTP 200/200; ordered task data available=true.</t>
        </is>
      </c>
      <c r="M212" s="5" t="inlineStr">
        <is>
          <t>EV-WF-001</t>
        </is>
      </c>
      <c r="N212" s="5" t="inlineStr">
        <is>
          <t>Pass</t>
        </is>
      </c>
      <c r="O212" s="5" t="inlineStr"/>
      <c r="P212" s="10" t="inlineStr"/>
      <c r="Q212" s="11" t="inlineStr"/>
      <c r="R212" s="12" t="n">
        <v>46275</v>
      </c>
      <c r="S212" s="5" t="inlineStr"/>
      <c r="T212" s="12" t="inlineStr"/>
      <c r="U212" s="5" t="inlineStr">
        <is>
          <t>Evaluated deployed workflow output with synthetic data; state-changing records were removed after execution.</t>
        </is>
      </c>
    </row>
    <row r="213">
      <c r="A213" s="4" t="inlineStr">
        <is>
          <t>WF-ADM-03</t>
        </is>
      </c>
      <c r="B213" s="5" t="inlineStr">
        <is>
          <t>Complete Workflows</t>
        </is>
      </c>
      <c r="C213" s="5" t="inlineStr">
        <is>
          <t>Admin</t>
        </is>
      </c>
      <c r="D213" s="5" t="inlineStr">
        <is>
          <t>Development Team</t>
        </is>
      </c>
      <c r="E213" s="5" t="inlineStr">
        <is>
          <t>Critical</t>
        </is>
      </c>
      <c r="F213" s="5" t="inlineStr">
        <is>
          <t>English baseline; repeat key UI in French/Arabic</t>
        </is>
      </c>
      <c r="G213" s="5" t="inlineStr">
        <is>
          <t>Local and staging</t>
        </is>
      </c>
      <c r="H213" s="5" t="inlineStr">
        <is>
          <t>Required fixture accounts and controlled catalogue data exist.</t>
        </is>
      </c>
      <c r="I213" s="5" t="inlineStr">
        <is>
          <t>Import or validate a catalogue dataset.</t>
        </is>
      </c>
      <c r="J213" s="5" t="inlineStr">
        <is>
          <t>Execute the complete journey from its initial state; verify each UI response and corresponding API/database state; save one representative screenshot and any failure evidence.</t>
        </is>
      </c>
      <c r="K213" s="5" t="inlineStr">
        <is>
          <t>Invalid rows are reported and valid rows are versioned safely.</t>
        </is>
      </c>
      <c r="L213" s="5" t="inlineStr">
        <is>
          <t>A valid catalogue import would version or replace shared staging catalogue data; no disposable catalogue namespace is available for isolated cleanup.</t>
        </is>
      </c>
      <c r="M213" s="5" t="inlineStr">
        <is>
          <t>EV-WF-001</t>
        </is>
      </c>
      <c r="N213" s="5" t="inlineStr">
        <is>
          <t>Blocked</t>
        </is>
      </c>
      <c r="O213" s="5" t="inlineStr"/>
      <c r="P213" s="10" t="inlineStr"/>
      <c r="Q213" s="11" t="inlineStr"/>
      <c r="R213" s="12" t="n">
        <v>46275</v>
      </c>
      <c r="S213" s="5" t="inlineStr"/>
      <c r="T213" s="12" t="inlineStr"/>
      <c r="U213" s="5" t="inlineStr">
        <is>
          <t>Excluded from the executed workflow rate because an isolated staging precondition is unavailable.</t>
        </is>
      </c>
    </row>
    <row r="214">
      <c r="A214" s="4" t="inlineStr">
        <is>
          <t>WF-VER-01</t>
        </is>
      </c>
      <c r="B214" s="5" t="inlineStr">
        <is>
          <t>Complete Workflows</t>
        </is>
      </c>
      <c r="C214" s="5" t="inlineStr">
        <is>
          <t>Verifier</t>
        </is>
      </c>
      <c r="D214" s="5" t="inlineStr">
        <is>
          <t>Development Team</t>
        </is>
      </c>
      <c r="E214" s="5" t="inlineStr">
        <is>
          <t>Critical</t>
        </is>
      </c>
      <c r="F214" s="5" t="inlineStr">
        <is>
          <t>English baseline; repeat key UI in French/Arabic</t>
        </is>
      </c>
      <c r="G214" s="5" t="inlineStr">
        <is>
          <t>Local and staging</t>
        </is>
      </c>
      <c r="H214" s="5" t="inlineStr">
        <is>
          <t>Required fixture accounts and controlled catalogue data exist.</t>
        </is>
      </c>
      <c r="I214" s="5" t="inlineStr">
        <is>
          <t>Open pending candidate evidence.</t>
        </is>
      </c>
      <c r="J214" s="5" t="inlineStr">
        <is>
          <t>Execute the complete journey from its initial state; verify each UI response and corresponding API/database state; save one representative screenshot and any failure evidence.</t>
        </is>
      </c>
      <c r="K214" s="5" t="inlineStr">
        <is>
          <t>Only authorized evidence is retrievable.</t>
        </is>
      </c>
      <c r="L214" s="5" t="inlineStr">
        <is>
          <t>Synthetic candidate registration HTTP 201; pending request found=true; authorized document HTTP 200; private no-store caching=true.</t>
        </is>
      </c>
      <c r="M214" s="5" t="inlineStr">
        <is>
          <t>EV-WF-002</t>
        </is>
      </c>
      <c r="N214" s="5" t="inlineStr">
        <is>
          <t>Pass</t>
        </is>
      </c>
      <c r="O214" s="5" t="inlineStr"/>
      <c r="P214" s="10" t="inlineStr"/>
      <c r="Q214" s="11" t="inlineStr"/>
      <c r="R214" s="12" t="n">
        <v>46275</v>
      </c>
      <c r="S214" s="5" t="inlineStr"/>
      <c r="T214" s="12" t="inlineStr"/>
      <c r="U214" s="5" t="inlineStr">
        <is>
          <t>Evaluated deployed workflow output with synthetic data; state-changing records were removed after execution.</t>
        </is>
      </c>
    </row>
    <row r="215">
      <c r="A215" s="4" t="inlineStr">
        <is>
          <t>WF-VER-02</t>
        </is>
      </c>
      <c r="B215" s="5" t="inlineStr">
        <is>
          <t>Complete Workflows</t>
        </is>
      </c>
      <c r="C215" s="5" t="inlineStr">
        <is>
          <t>Verifier</t>
        </is>
      </c>
      <c r="D215" s="5" t="inlineStr">
        <is>
          <t>Development Team</t>
        </is>
      </c>
      <c r="E215" s="5" t="inlineStr">
        <is>
          <t>Critical</t>
        </is>
      </c>
      <c r="F215" s="5" t="inlineStr">
        <is>
          <t>English baseline; repeat key UI in French/Arabic</t>
        </is>
      </c>
      <c r="G215" s="5" t="inlineStr">
        <is>
          <t>Local and staging</t>
        </is>
      </c>
      <c r="H215" s="5" t="inlineStr">
        <is>
          <t>Required fixture accounts and controlled catalogue data exist.</t>
        </is>
      </c>
      <c r="I215" s="5" t="inlineStr">
        <is>
          <t>Accept valid evidence.</t>
        </is>
      </c>
      <c r="J215" s="5" t="inlineStr">
        <is>
          <t>Execute the complete journey from its initial state; verify each UI response and corresponding API/database state; save one representative screenshot and any failure evidence.</t>
        </is>
      </c>
      <c r="K215" s="5" t="inlineStr">
        <is>
          <t>The decision, verifier and timestamp are auditable.</t>
        </is>
      </c>
      <c r="L215" s="5" t="inlineStr">
        <is>
          <t>Approval returned HTTP 200; approved status, reviewer and timestamp persisted=true.</t>
        </is>
      </c>
      <c r="M215" s="5" t="inlineStr">
        <is>
          <t>EV-WF-002</t>
        </is>
      </c>
      <c r="N215" s="5" t="inlineStr">
        <is>
          <t>Pass</t>
        </is>
      </c>
      <c r="O215" s="5" t="inlineStr"/>
      <c r="P215" s="10" t="inlineStr"/>
      <c r="Q215" s="11" t="inlineStr"/>
      <c r="R215" s="12" t="n">
        <v>46275</v>
      </c>
      <c r="S215" s="5" t="inlineStr"/>
      <c r="T215" s="12" t="inlineStr"/>
      <c r="U215" s="5" t="inlineStr">
        <is>
          <t>Evaluated deployed workflow output with synthetic data; state-changing records were removed after execution.</t>
        </is>
      </c>
    </row>
    <row r="216">
      <c r="A216" s="4" t="inlineStr">
        <is>
          <t>WF-VER-03</t>
        </is>
      </c>
      <c r="B216" s="5" t="inlineStr">
        <is>
          <t>Complete Workflows</t>
        </is>
      </c>
      <c r="C216" s="5" t="inlineStr">
        <is>
          <t>Verifier</t>
        </is>
      </c>
      <c r="D216" s="5" t="inlineStr">
        <is>
          <t>Development Team</t>
        </is>
      </c>
      <c r="E216" s="5" t="inlineStr">
        <is>
          <t>Critical</t>
        </is>
      </c>
      <c r="F216" s="5" t="inlineStr">
        <is>
          <t>English baseline; repeat key UI in French/Arabic</t>
        </is>
      </c>
      <c r="G216" s="5" t="inlineStr">
        <is>
          <t>Local and staging</t>
        </is>
      </c>
      <c r="H216" s="5" t="inlineStr">
        <is>
          <t>Required fixture accounts and controlled catalogue data exist.</t>
        </is>
      </c>
      <c r="I216" s="5" t="inlineStr">
        <is>
          <t>Reject invalid evidence with a reason.</t>
        </is>
      </c>
      <c r="J216" s="5" t="inlineStr">
        <is>
          <t>Execute the complete journey from its initial state; verify each UI response and corresponding API/database state; save one representative screenshot and any failure evidence.</t>
        </is>
      </c>
      <c r="K216" s="5" t="inlineStr">
        <is>
          <t>The reason and decision are stored and visible to the candidate.</t>
        </is>
      </c>
      <c r="L216" s="5" t="inlineStr">
        <is>
          <t>Rejection returned HTTP 200; reason, reviewer and timestamp persisted=true.</t>
        </is>
      </c>
      <c r="M216" s="5" t="inlineStr">
        <is>
          <t>EV-WF-002</t>
        </is>
      </c>
      <c r="N216" s="5" t="inlineStr">
        <is>
          <t>Pass</t>
        </is>
      </c>
      <c r="O216" s="5" t="inlineStr"/>
      <c r="P216" s="10" t="inlineStr"/>
      <c r="Q216" s="11" t="inlineStr"/>
      <c r="R216" s="12" t="n">
        <v>46275</v>
      </c>
      <c r="S216" s="5" t="inlineStr"/>
      <c r="T216" s="12" t="inlineStr"/>
      <c r="U216" s="5" t="inlineStr">
        <is>
          <t>Evaluated deployed workflow output with synthetic data; state-changing records were removed after execution.</t>
        </is>
      </c>
    </row>
    <row r="217">
      <c r="A217" s="4" t="inlineStr">
        <is>
          <t>SEC-01</t>
        </is>
      </c>
      <c r="B217" s="5" t="inlineStr">
        <is>
          <t>Security and Privacy</t>
        </is>
      </c>
      <c r="C217" s="5" t="inlineStr">
        <is>
          <t>Authentication</t>
        </is>
      </c>
      <c r="D217" s="5" t="inlineStr">
        <is>
          <t>Development Team</t>
        </is>
      </c>
      <c r="E217" s="5" t="inlineStr">
        <is>
          <t>High</t>
        </is>
      </c>
      <c r="F217" s="5" t="inlineStr">
        <is>
          <t>N/A</t>
        </is>
      </c>
      <c r="G217" s="5" t="inlineStr">
        <is>
          <t>Local first; staging safe checks only</t>
        </is>
      </c>
      <c r="H217" s="5" t="inlineStr">
        <is>
          <t>Use fictional test accounts and non-destructive payloads.</t>
        </is>
      </c>
      <c r="I217" s="5" t="inlineStr">
        <is>
          <t>Call a protected endpoint without a JWT.</t>
        </is>
      </c>
      <c r="J217" s="5" t="inlineStr">
        <is>
          <t>Record the authorized baseline; issue the negative request; record HTTP status/body and database/UI state; verify no secret appears in logs or response.</t>
        </is>
      </c>
      <c r="K217" s="5" t="inlineStr">
        <is>
          <t>401; no protected data.</t>
        </is>
      </c>
      <c r="L217" s="5" t="inlineStr">
        <is>
          <t>Protected candidate profile returned HTTP 401 without a JWT.</t>
        </is>
      </c>
      <c r="M217" s="5" t="inlineStr">
        <is>
          <t>EV-SEC-002</t>
        </is>
      </c>
      <c r="N217" s="5" t="inlineStr">
        <is>
          <t>Pass</t>
        </is>
      </c>
      <c r="O217" s="5" t="inlineStr"/>
      <c r="P217" s="10" t="inlineStr"/>
      <c r="Q217" s="11" t="inlineStr"/>
      <c r="R217" s="12" t="n">
        <v>46275</v>
      </c>
      <c r="S217" s="5" t="inlineStr"/>
      <c r="T217" s="12" t="inlineStr"/>
      <c r="U217" s="5" t="inlineStr">
        <is>
          <t>Evaluated negative security/privacy output case against healthy staging services using synthetic data.</t>
        </is>
      </c>
    </row>
    <row r="218">
      <c r="A218" s="4" t="inlineStr">
        <is>
          <t>SEC-02</t>
        </is>
      </c>
      <c r="B218" s="5" t="inlineStr">
        <is>
          <t>Security and Privacy</t>
        </is>
      </c>
      <c r="C218" s="5" t="inlineStr">
        <is>
          <t>Authentication</t>
        </is>
      </c>
      <c r="D218" s="5" t="inlineStr">
        <is>
          <t>Development Team</t>
        </is>
      </c>
      <c r="E218" s="5" t="inlineStr">
        <is>
          <t>High</t>
        </is>
      </c>
      <c r="F218" s="5" t="inlineStr">
        <is>
          <t>N/A</t>
        </is>
      </c>
      <c r="G218" s="5" t="inlineStr">
        <is>
          <t>Local first; staging safe checks only</t>
        </is>
      </c>
      <c r="H218" s="5" t="inlineStr">
        <is>
          <t>Use fictional test accounts and non-destructive payloads.</t>
        </is>
      </c>
      <c r="I218" s="5" t="inlineStr">
        <is>
          <t>Use a malformed JWT.</t>
        </is>
      </c>
      <c r="J218" s="5" t="inlineStr">
        <is>
          <t>Record the authorized baseline; issue the negative request; record HTTP status/body and database/UI state; verify no secret appears in logs or response.</t>
        </is>
      </c>
      <c r="K218" s="5" t="inlineStr">
        <is>
          <t>401; no state change.</t>
        </is>
      </c>
      <c r="L218" s="5" t="inlineStr">
        <is>
          <t>Malformed JWT returned HTTP 401.</t>
        </is>
      </c>
      <c r="M218" s="5" t="inlineStr">
        <is>
          <t>EV-SEC-002</t>
        </is>
      </c>
      <c r="N218" s="5" t="inlineStr">
        <is>
          <t>Pass</t>
        </is>
      </c>
      <c r="O218" s="5" t="inlineStr"/>
      <c r="P218" s="10" t="inlineStr"/>
      <c r="Q218" s="11" t="inlineStr"/>
      <c r="R218" s="12" t="n">
        <v>46275</v>
      </c>
      <c r="S218" s="5" t="inlineStr"/>
      <c r="T218" s="12" t="inlineStr"/>
      <c r="U218" s="5" t="inlineStr">
        <is>
          <t>Evaluated negative security/privacy output case against healthy staging services using synthetic data.</t>
        </is>
      </c>
    </row>
    <row r="219">
      <c r="A219" s="4" t="inlineStr">
        <is>
          <t>SEC-03</t>
        </is>
      </c>
      <c r="B219" s="5" t="inlineStr">
        <is>
          <t>Security and Privacy</t>
        </is>
      </c>
      <c r="C219" s="5" t="inlineStr">
        <is>
          <t>Authentication</t>
        </is>
      </c>
      <c r="D219" s="5" t="inlineStr">
        <is>
          <t>Development Team</t>
        </is>
      </c>
      <c r="E219" s="5" t="inlineStr">
        <is>
          <t>High</t>
        </is>
      </c>
      <c r="F219" s="5" t="inlineStr">
        <is>
          <t>N/A</t>
        </is>
      </c>
      <c r="G219" s="5" t="inlineStr">
        <is>
          <t>Local first; staging safe checks only</t>
        </is>
      </c>
      <c r="H219" s="5" t="inlineStr">
        <is>
          <t>Use fictional test accounts and non-destructive payloads.</t>
        </is>
      </c>
      <c r="I219" s="5" t="inlineStr">
        <is>
          <t>Use an expired JWT.</t>
        </is>
      </c>
      <c r="J219" s="5" t="inlineStr">
        <is>
          <t>Record the authorized baseline; issue the negative request; record HTTP status/body and database/UI state; verify no secret appears in logs or response.</t>
        </is>
      </c>
      <c r="K219" s="5" t="inlineStr">
        <is>
          <t>401 and safe sign-in recovery.</t>
        </is>
      </c>
      <c r="L219" s="5" t="inlineStr">
        <is>
          <t>Correctly signed expired JWT returned HTTP 401.</t>
        </is>
      </c>
      <c r="M219" s="5" t="inlineStr">
        <is>
          <t>EV-SEC-002</t>
        </is>
      </c>
      <c r="N219" s="5" t="inlineStr">
        <is>
          <t>Pass</t>
        </is>
      </c>
      <c r="O219" s="5" t="inlineStr"/>
      <c r="P219" s="10" t="inlineStr"/>
      <c r="Q219" s="11" t="inlineStr"/>
      <c r="R219" s="12" t="n">
        <v>46275</v>
      </c>
      <c r="S219" s="5" t="inlineStr"/>
      <c r="T219" s="12" t="inlineStr"/>
      <c r="U219" s="5" t="inlineStr">
        <is>
          <t>Evaluated negative security/privacy output case against healthy staging services using synthetic data.</t>
        </is>
      </c>
    </row>
    <row r="220">
      <c r="A220" s="4" t="inlineStr">
        <is>
          <t>SEC-04</t>
        </is>
      </c>
      <c r="B220" s="5" t="inlineStr">
        <is>
          <t>Security and Privacy</t>
        </is>
      </c>
      <c r="C220" s="5" t="inlineStr">
        <is>
          <t>Authentication</t>
        </is>
      </c>
      <c r="D220" s="5" t="inlineStr">
        <is>
          <t>Development Team</t>
        </is>
      </c>
      <c r="E220" s="5" t="inlineStr">
        <is>
          <t>High</t>
        </is>
      </c>
      <c r="F220" s="5" t="inlineStr">
        <is>
          <t>N/A</t>
        </is>
      </c>
      <c r="G220" s="5" t="inlineStr">
        <is>
          <t>Local first; staging safe checks only</t>
        </is>
      </c>
      <c r="H220" s="5" t="inlineStr">
        <is>
          <t>Use fictional test accounts and non-destructive payloads.</t>
        </is>
      </c>
      <c r="I220" s="5" t="inlineStr">
        <is>
          <t>Modify a valid JWT payload/signature.</t>
        </is>
      </c>
      <c r="J220" s="5" t="inlineStr">
        <is>
          <t>Record the authorized baseline; issue the negative request; record HTTP status/body and database/UI state; verify no secret appears in logs or response.</t>
        </is>
      </c>
      <c r="K220" s="5" t="inlineStr">
        <is>
          <t>401; modification is detected.</t>
        </is>
      </c>
      <c r="L220" s="5" t="inlineStr">
        <is>
          <t>JWT with modified payload and original signature returned HTTP 401.</t>
        </is>
      </c>
      <c r="M220" s="5" t="inlineStr">
        <is>
          <t>EV-SEC-002</t>
        </is>
      </c>
      <c r="N220" s="5" t="inlineStr">
        <is>
          <t>Pass</t>
        </is>
      </c>
      <c r="O220" s="5" t="inlineStr"/>
      <c r="P220" s="10" t="inlineStr"/>
      <c r="Q220" s="11" t="inlineStr"/>
      <c r="R220" s="12" t="n">
        <v>46275</v>
      </c>
      <c r="S220" s="5" t="inlineStr"/>
      <c r="T220" s="12" t="inlineStr"/>
      <c r="U220" s="5" t="inlineStr">
        <is>
          <t>Evaluated negative security/privacy output case against healthy staging services using synthetic data.</t>
        </is>
      </c>
    </row>
    <row r="221">
      <c r="A221" s="4" t="inlineStr">
        <is>
          <t>SEC-05</t>
        </is>
      </c>
      <c r="B221" s="5" t="inlineStr">
        <is>
          <t>Security and Privacy</t>
        </is>
      </c>
      <c r="C221" s="5" t="inlineStr">
        <is>
          <t>Authorization</t>
        </is>
      </c>
      <c r="D221" s="5" t="inlineStr">
        <is>
          <t>Development Team</t>
        </is>
      </c>
      <c r="E221" s="5" t="inlineStr">
        <is>
          <t>Critical</t>
        </is>
      </c>
      <c r="F221" s="5" t="inlineStr">
        <is>
          <t>N/A</t>
        </is>
      </c>
      <c r="G221" s="5" t="inlineStr">
        <is>
          <t>Local first; staging safe checks only</t>
        </is>
      </c>
      <c r="H221" s="5" t="inlineStr">
        <is>
          <t>Use fictional test accounts and non-destructive payloads.</t>
        </is>
      </c>
      <c r="I221" s="5" t="inlineStr">
        <is>
          <t>Candidate calls an employer endpoint.</t>
        </is>
      </c>
      <c r="J221" s="5" t="inlineStr">
        <is>
          <t>Record the authorized baseline; issue the negative request; record HTTP status/body and database/UI state; verify no secret appears in logs or response.</t>
        </is>
      </c>
      <c r="K221" s="5" t="inlineStr">
        <is>
          <t>403; no employer data or mutation.</t>
        </is>
      </c>
      <c r="L221" s="5" t="inlineStr">
        <is>
          <t>Candidate token on employer endpoint returned HTTP 403.</t>
        </is>
      </c>
      <c r="M221" s="5" t="inlineStr">
        <is>
          <t>EV-SEC-002</t>
        </is>
      </c>
      <c r="N221" s="5" t="inlineStr">
        <is>
          <t>Pass</t>
        </is>
      </c>
      <c r="O221" s="5" t="inlineStr"/>
      <c r="P221" s="10" t="inlineStr"/>
      <c r="Q221" s="11" t="inlineStr"/>
      <c r="R221" s="12" t="n">
        <v>46275</v>
      </c>
      <c r="S221" s="5" t="inlineStr"/>
      <c r="T221" s="12" t="inlineStr"/>
      <c r="U221" s="5" t="inlineStr">
        <is>
          <t>Evaluated negative security/privacy output case against healthy staging services using synthetic data.</t>
        </is>
      </c>
    </row>
    <row r="222">
      <c r="A222" s="4" t="inlineStr">
        <is>
          <t>SEC-06</t>
        </is>
      </c>
      <c r="B222" s="5" t="inlineStr">
        <is>
          <t>Security and Privacy</t>
        </is>
      </c>
      <c r="C222" s="5" t="inlineStr">
        <is>
          <t>Authorization</t>
        </is>
      </c>
      <c r="D222" s="5" t="inlineStr">
        <is>
          <t>Development Team</t>
        </is>
      </c>
      <c r="E222" s="5" t="inlineStr">
        <is>
          <t>Critical</t>
        </is>
      </c>
      <c r="F222" s="5" t="inlineStr">
        <is>
          <t>N/A</t>
        </is>
      </c>
      <c r="G222" s="5" t="inlineStr">
        <is>
          <t>Local first; staging safe checks only</t>
        </is>
      </c>
      <c r="H222" s="5" t="inlineStr">
        <is>
          <t>Use fictional test accounts and non-destructive payloads.</t>
        </is>
      </c>
      <c r="I222" s="5" t="inlineStr">
        <is>
          <t>Employer calls an administrator endpoint.</t>
        </is>
      </c>
      <c r="J222" s="5" t="inlineStr">
        <is>
          <t>Record the authorized baseline; issue the negative request; record HTTP status/body and database/UI state; verify no secret appears in logs or response.</t>
        </is>
      </c>
      <c r="K222" s="5" t="inlineStr">
        <is>
          <t>403; no administrator data.</t>
        </is>
      </c>
      <c r="L222" s="5" t="inlineStr">
        <is>
          <t>Employer token on administrator endpoint returned HTTP 403.</t>
        </is>
      </c>
      <c r="M222" s="5" t="inlineStr">
        <is>
          <t>EV-SEC-002</t>
        </is>
      </c>
      <c r="N222" s="5" t="inlineStr">
        <is>
          <t>Pass</t>
        </is>
      </c>
      <c r="O222" s="5" t="inlineStr"/>
      <c r="P222" s="10" t="inlineStr"/>
      <c r="Q222" s="11" t="inlineStr"/>
      <c r="R222" s="12" t="n">
        <v>46275</v>
      </c>
      <c r="S222" s="5" t="inlineStr"/>
      <c r="T222" s="12" t="inlineStr"/>
      <c r="U222" s="5" t="inlineStr">
        <is>
          <t>Evaluated negative security/privacy output case against healthy staging services using synthetic data.</t>
        </is>
      </c>
    </row>
    <row r="223">
      <c r="A223" s="4" t="inlineStr">
        <is>
          <t>SEC-07</t>
        </is>
      </c>
      <c r="B223" s="5" t="inlineStr">
        <is>
          <t>Security and Privacy</t>
        </is>
      </c>
      <c r="C223" s="5" t="inlineStr">
        <is>
          <t>Authorization</t>
        </is>
      </c>
      <c r="D223" s="5" t="inlineStr">
        <is>
          <t>Development Team</t>
        </is>
      </c>
      <c r="E223" s="5" t="inlineStr">
        <is>
          <t>Critical</t>
        </is>
      </c>
      <c r="F223" s="5" t="inlineStr">
        <is>
          <t>N/A</t>
        </is>
      </c>
      <c r="G223" s="5" t="inlineStr">
        <is>
          <t>Local first; staging safe checks only</t>
        </is>
      </c>
      <c r="H223" s="5" t="inlineStr">
        <is>
          <t>Use fictional test accounts and non-destructive payloads.</t>
        </is>
      </c>
      <c r="I223" s="5" t="inlineStr">
        <is>
          <t>Candidate requests another candidate’s object ID.</t>
        </is>
      </c>
      <c r="J223" s="5" t="inlineStr">
        <is>
          <t>Record the authorized baseline; issue the negative request; record HTTP status/body and database/UI state; verify no secret appears in logs or response.</t>
        </is>
      </c>
      <c r="K223" s="5" t="inlineStr">
        <is>
          <t>Denied or safely scoped to the authenticated candidate.</t>
        </is>
      </c>
      <c r="L223" s="5" t="inlineStr">
        <is>
          <t>No cross-candidate profile-ID route was exposed; attempted object path returned HTTP 404.</t>
        </is>
      </c>
      <c r="M223" s="5" t="inlineStr">
        <is>
          <t>EV-SEC-002</t>
        </is>
      </c>
      <c r="N223" s="5" t="inlineStr">
        <is>
          <t>Pass</t>
        </is>
      </c>
      <c r="O223" s="5" t="inlineStr"/>
      <c r="P223" s="10" t="inlineStr"/>
      <c r="Q223" s="11" t="inlineStr"/>
      <c r="R223" s="12" t="n">
        <v>46275</v>
      </c>
      <c r="S223" s="5" t="inlineStr"/>
      <c r="T223" s="12" t="inlineStr"/>
      <c r="U223" s="5" t="inlineStr">
        <is>
          <t>Evaluated negative security/privacy output case against healthy staging services using synthetic data.</t>
        </is>
      </c>
    </row>
    <row r="224">
      <c r="A224" s="4" t="inlineStr">
        <is>
          <t>SEC-08</t>
        </is>
      </c>
      <c r="B224" s="5" t="inlineStr">
        <is>
          <t>Security and Privacy</t>
        </is>
      </c>
      <c r="C224" s="5" t="inlineStr">
        <is>
          <t>Documents</t>
        </is>
      </c>
      <c r="D224" s="5" t="inlineStr">
        <is>
          <t>Development Team</t>
        </is>
      </c>
      <c r="E224" s="5" t="inlineStr">
        <is>
          <t>Critical</t>
        </is>
      </c>
      <c r="F224" s="5" t="inlineStr">
        <is>
          <t>N/A</t>
        </is>
      </c>
      <c r="G224" s="5" t="inlineStr">
        <is>
          <t>Local first; staging safe checks only</t>
        </is>
      </c>
      <c r="H224" s="5" t="inlineStr">
        <is>
          <t>Use fictional test accounts and non-destructive payloads.</t>
        </is>
      </c>
      <c r="I224" s="5" t="inlineStr">
        <is>
          <t>Request a private document without authorization.</t>
        </is>
      </c>
      <c r="J224" s="5" t="inlineStr">
        <is>
          <t>Record the authorized baseline; issue the negative request; record HTTP status/body and database/UI state; verify no secret appears in logs or response.</t>
        </is>
      </c>
      <c r="K224" s="5" t="inlineStr">
        <is>
          <t>Denied; no direct public object exposure.</t>
        </is>
      </c>
      <c r="L224" s="5" t="inlineStr">
        <is>
          <t>Anonymous private-document request returned HTTP 401 before object access.</t>
        </is>
      </c>
      <c r="M224" s="5" t="inlineStr">
        <is>
          <t>EV-SEC-002</t>
        </is>
      </c>
      <c r="N224" s="5" t="inlineStr">
        <is>
          <t>Pass</t>
        </is>
      </c>
      <c r="O224" s="5" t="inlineStr"/>
      <c r="P224" s="10" t="inlineStr"/>
      <c r="Q224" s="11" t="inlineStr"/>
      <c r="R224" s="12" t="n">
        <v>46275</v>
      </c>
      <c r="S224" s="5" t="inlineStr"/>
      <c r="T224" s="12" t="inlineStr"/>
      <c r="U224" s="5" t="inlineStr">
        <is>
          <t>Evaluated negative security/privacy output case against healthy staging services using synthetic data.</t>
        </is>
      </c>
    </row>
    <row r="225">
      <c r="A225" s="4" t="inlineStr">
        <is>
          <t>SEC-09</t>
        </is>
      </c>
      <c r="B225" s="5" t="inlineStr">
        <is>
          <t>Security and Privacy</t>
        </is>
      </c>
      <c r="C225" s="5" t="inlineStr">
        <is>
          <t>Input validation</t>
        </is>
      </c>
      <c r="D225" s="5" t="inlineStr">
        <is>
          <t>Development Team</t>
        </is>
      </c>
      <c r="E225" s="5" t="inlineStr">
        <is>
          <t>High</t>
        </is>
      </c>
      <c r="F225" s="5" t="inlineStr">
        <is>
          <t>N/A</t>
        </is>
      </c>
      <c r="G225" s="5" t="inlineStr">
        <is>
          <t>Local first; staging safe checks only</t>
        </is>
      </c>
      <c r="H225" s="5" t="inlineStr">
        <is>
          <t>Use fictional test accounts and non-destructive payloads.</t>
        </is>
      </c>
      <c r="I225" s="5" t="inlineStr">
        <is>
          <t>Submit unexpected enum and identifier values.</t>
        </is>
      </c>
      <c r="J225" s="5" t="inlineStr">
        <is>
          <t>Record the authorized baseline; issue the negative request; record HTTP status/body and database/UI state; verify no secret appears in logs or response.</t>
        </is>
      </c>
      <c r="K225" s="5" t="inlineStr">
        <is>
          <t>400 with safe validation message.</t>
        </is>
      </c>
      <c r="L225" s="5" t="inlineStr">
        <is>
          <t>Unexpected education enum returned HTTP 400; invalid value persisted=false.</t>
        </is>
      </c>
      <c r="M225" s="5" t="inlineStr">
        <is>
          <t>EV-SEC-002</t>
        </is>
      </c>
      <c r="N225" s="5" t="inlineStr">
        <is>
          <t>Pass</t>
        </is>
      </c>
      <c r="O225" s="5" t="inlineStr"/>
      <c r="P225" s="10" t="inlineStr"/>
      <c r="Q225" s="11" t="inlineStr"/>
      <c r="R225" s="12" t="n">
        <v>46275</v>
      </c>
      <c r="S225" s="5" t="inlineStr"/>
      <c r="T225" s="12" t="inlineStr"/>
      <c r="U225" s="5" t="inlineStr">
        <is>
          <t>Evaluated negative security/privacy output case against healthy staging services using synthetic data.</t>
        </is>
      </c>
    </row>
    <row r="226">
      <c r="A226" s="4" t="inlineStr">
        <is>
          <t>SEC-10</t>
        </is>
      </c>
      <c r="B226" s="5" t="inlineStr">
        <is>
          <t>Security and Privacy</t>
        </is>
      </c>
      <c r="C226" s="5" t="inlineStr">
        <is>
          <t>Input validation</t>
        </is>
      </c>
      <c r="D226" s="5" t="inlineStr">
        <is>
          <t>Development Team</t>
        </is>
      </c>
      <c r="E226" s="5" t="inlineStr">
        <is>
          <t>High</t>
        </is>
      </c>
      <c r="F226" s="5" t="inlineStr">
        <is>
          <t>N/A</t>
        </is>
      </c>
      <c r="G226" s="5" t="inlineStr">
        <is>
          <t>Local first; staging safe checks only</t>
        </is>
      </c>
      <c r="H226" s="5" t="inlineStr">
        <is>
          <t>Use fictional test accounts and non-destructive payloads.</t>
        </is>
      </c>
      <c r="I226" s="5" t="inlineStr">
        <is>
          <t>Submit SQL-injection-style text.</t>
        </is>
      </c>
      <c r="J226" s="5" t="inlineStr">
        <is>
          <t>Record the authorized baseline; issue the negative request; record HTTP status/body and database/UI state; verify no secret appears in logs or response.</t>
        </is>
      </c>
      <c r="K226" s="5" t="inlineStr">
        <is>
          <t>Input is treated as data; query and database remain safe.</t>
        </is>
      </c>
      <c r="L226" s="5" t="inlineStr">
        <is>
          <t>SQL-style login text returned HTTP 401; API health afterward was HTTP 200.</t>
        </is>
      </c>
      <c r="M226" s="5" t="inlineStr">
        <is>
          <t>EV-SEC-002</t>
        </is>
      </c>
      <c r="N226" s="5" t="inlineStr">
        <is>
          <t>Pass</t>
        </is>
      </c>
      <c r="O226" s="5" t="inlineStr"/>
      <c r="P226" s="10" t="inlineStr"/>
      <c r="Q226" s="11" t="inlineStr"/>
      <c r="R226" s="12" t="n">
        <v>46275</v>
      </c>
      <c r="S226" s="5" t="inlineStr"/>
      <c r="T226" s="12" t="inlineStr"/>
      <c r="U226" s="5" t="inlineStr">
        <is>
          <t>Evaluated negative security/privacy output case against healthy staging services using synthetic data.</t>
        </is>
      </c>
    </row>
    <row r="227">
      <c r="A227" s="4" t="inlineStr">
        <is>
          <t>SEC-11</t>
        </is>
      </c>
      <c r="B227" s="5" t="inlineStr">
        <is>
          <t>Security and Privacy</t>
        </is>
      </c>
      <c r="C227" s="5" t="inlineStr">
        <is>
          <t>Input validation</t>
        </is>
      </c>
      <c r="D227" s="5" t="inlineStr">
        <is>
          <t>Development Team</t>
        </is>
      </c>
      <c r="E227" s="5" t="inlineStr">
        <is>
          <t>High</t>
        </is>
      </c>
      <c r="F227" s="5" t="inlineStr">
        <is>
          <t>N/A</t>
        </is>
      </c>
      <c r="G227" s="5" t="inlineStr">
        <is>
          <t>Local first; staging safe checks only</t>
        </is>
      </c>
      <c r="H227" s="5" t="inlineStr">
        <is>
          <t>Use fictional test accounts and non-destructive payloads.</t>
        </is>
      </c>
      <c r="I227" s="5" t="inlineStr">
        <is>
          <t>Submit HTML/script payloads in text fields.</t>
        </is>
      </c>
      <c r="J227" s="5" t="inlineStr">
        <is>
          <t>Record the authorized baseline; issue the negative request; record HTTP status/body and database/UI state; verify no secret appears in logs or response.</t>
        </is>
      </c>
      <c r="K227" s="5" t="inlineStr">
        <is>
          <t>No script executes when content is displayed.</t>
        </is>
      </c>
      <c r="L227" s="5" t="inlineStr">
        <is>
          <t>HTML payload saved as editable text=true; script executed=false.</t>
        </is>
      </c>
      <c r="M227" s="5" t="inlineStr">
        <is>
          <t>EV-SEC-002</t>
        </is>
      </c>
      <c r="N227" s="5" t="inlineStr">
        <is>
          <t>Pass</t>
        </is>
      </c>
      <c r="O227" s="5" t="inlineStr"/>
      <c r="P227" s="10" t="inlineStr"/>
      <c r="Q227" s="11" t="inlineStr"/>
      <c r="R227" s="12" t="n">
        <v>46275</v>
      </c>
      <c r="S227" s="5" t="inlineStr"/>
      <c r="T227" s="12" t="inlineStr"/>
      <c r="U227" s="5" t="inlineStr">
        <is>
          <t>Evaluated negative security/privacy output case against healthy staging services using synthetic data.</t>
        </is>
      </c>
    </row>
    <row r="228">
      <c r="A228" s="4" t="inlineStr">
        <is>
          <t>SEC-12</t>
        </is>
      </c>
      <c r="B228" s="5" t="inlineStr">
        <is>
          <t>Security and Privacy</t>
        </is>
      </c>
      <c r="C228" s="5" t="inlineStr">
        <is>
          <t>Uploads</t>
        </is>
      </c>
      <c r="D228" s="5" t="inlineStr">
        <is>
          <t>Development Team</t>
        </is>
      </c>
      <c r="E228" s="5" t="inlineStr">
        <is>
          <t>High</t>
        </is>
      </c>
      <c r="F228" s="5" t="inlineStr">
        <is>
          <t>N/A</t>
        </is>
      </c>
      <c r="G228" s="5" t="inlineStr">
        <is>
          <t>Local first; staging safe checks only</t>
        </is>
      </c>
      <c r="H228" s="5" t="inlineStr">
        <is>
          <t>Use fictional test accounts and non-destructive payloads.</t>
        </is>
      </c>
      <c r="I228" s="5" t="inlineStr">
        <is>
          <t>Upload a file exceeding the configured limit.</t>
        </is>
      </c>
      <c r="J228" s="5" t="inlineStr">
        <is>
          <t>Record the authorized baseline; issue the negative request; record HTTP status/body and database/UI state; verify no secret appears in logs or response.</t>
        </is>
      </c>
      <c r="K228" s="5" t="inlineStr">
        <is>
          <t>Upload is rejected before persistence.</t>
        </is>
      </c>
      <c r="L228" s="5" t="inlineStr">
        <is>
          <t>10 MB + 1 byte upload returned HTTP 200; application created=true.</t>
        </is>
      </c>
      <c r="M228" s="5" t="inlineStr">
        <is>
          <t>EV-SEC-002</t>
        </is>
      </c>
      <c r="N228" s="5" t="inlineStr">
        <is>
          <t>Fail</t>
        </is>
      </c>
      <c r="O228" s="5" t="inlineStr"/>
      <c r="P228" s="10" t="inlineStr"/>
      <c r="Q228" s="11" t="inlineStr"/>
      <c r="R228" s="12" t="n">
        <v>46275</v>
      </c>
      <c r="S228" s="5" t="inlineStr"/>
      <c r="T228" s="12" t="inlineStr"/>
      <c r="U228" s="5" t="inlineStr">
        <is>
          <t>Evaluated against a healthy staging service; this is a genuine observed security-control failure. Temporary data was removed.</t>
        </is>
      </c>
    </row>
    <row r="229">
      <c r="A229" s="4" t="inlineStr">
        <is>
          <t>SEC-13</t>
        </is>
      </c>
      <c r="B229" s="5" t="inlineStr">
        <is>
          <t>Security and Privacy</t>
        </is>
      </c>
      <c r="C229" s="5" t="inlineStr">
        <is>
          <t>Uploads</t>
        </is>
      </c>
      <c r="D229" s="5" t="inlineStr">
        <is>
          <t>Development Team</t>
        </is>
      </c>
      <c r="E229" s="5" t="inlineStr">
        <is>
          <t>High</t>
        </is>
      </c>
      <c r="F229" s="5" t="inlineStr">
        <is>
          <t>N/A</t>
        </is>
      </c>
      <c r="G229" s="5" t="inlineStr">
        <is>
          <t>Local first; staging safe checks only</t>
        </is>
      </c>
      <c r="H229" s="5" t="inlineStr">
        <is>
          <t>Use fictional test accounts and non-destructive payloads.</t>
        </is>
      </c>
      <c r="I229" s="5" t="inlineStr">
        <is>
          <t>Upload an unsupported MIME type.</t>
        </is>
      </c>
      <c r="J229" s="5" t="inlineStr">
        <is>
          <t>Record the authorized baseline; issue the negative request; record HTTP status/body and database/UI state; verify no secret appears in logs or response.</t>
        </is>
      </c>
      <c r="K229" s="5" t="inlineStr">
        <is>
          <t>Upload is rejected with a safe message.</t>
        </is>
      </c>
      <c r="L229" s="5" t="inlineStr">
        <is>
          <t>Unsupported text/plain upload returned HTTP 400; application created=false; message=Only validated PDF, DOC, and DOCX documents are allowed..</t>
        </is>
      </c>
      <c r="M229" s="5" t="inlineStr">
        <is>
          <t>EV-SEC-002</t>
        </is>
      </c>
      <c r="N229" s="5" t="inlineStr">
        <is>
          <t>Pass</t>
        </is>
      </c>
      <c r="O229" s="5" t="inlineStr"/>
      <c r="P229" s="10" t="inlineStr"/>
      <c r="Q229" s="11" t="inlineStr"/>
      <c r="R229" s="12" t="n">
        <v>46275</v>
      </c>
      <c r="S229" s="5" t="inlineStr"/>
      <c r="T229" s="12" t="inlineStr"/>
      <c r="U229" s="5" t="inlineStr">
        <is>
          <t>Evaluated negative security/privacy output case against healthy staging services using synthetic data.</t>
        </is>
      </c>
    </row>
    <row r="230">
      <c r="A230" s="4" t="inlineStr">
        <is>
          <t>SEC-14</t>
        </is>
      </c>
      <c r="B230" s="5" t="inlineStr">
        <is>
          <t>Security and Privacy</t>
        </is>
      </c>
      <c r="C230" s="5" t="inlineStr">
        <is>
          <t>Uploads</t>
        </is>
      </c>
      <c r="D230" s="5" t="inlineStr">
        <is>
          <t>Development Team</t>
        </is>
      </c>
      <c r="E230" s="5" t="inlineStr">
        <is>
          <t>High</t>
        </is>
      </c>
      <c r="F230" s="5" t="inlineStr">
        <is>
          <t>N/A</t>
        </is>
      </c>
      <c r="G230" s="5" t="inlineStr">
        <is>
          <t>Local first; staging safe checks only</t>
        </is>
      </c>
      <c r="H230" s="5" t="inlineStr">
        <is>
          <t>Use fictional test accounts and non-destructive payloads.</t>
        </is>
      </c>
      <c r="I230" s="5" t="inlineStr">
        <is>
          <t>Rename an unsupported file to an allowed extension.</t>
        </is>
      </c>
      <c r="J230" s="5" t="inlineStr">
        <is>
          <t>Record the authorized baseline; issue the negative request; record HTTP status/body and database/UI state; verify no secret appears in logs or response.</t>
        </is>
      </c>
      <c r="K230" s="5" t="inlineStr">
        <is>
          <t>Content/MIME validation rejects it.</t>
        </is>
      </c>
      <c r="L230" s="5" t="inlineStr">
        <is>
          <t>Non-PDF content renamed and declared as PDF returned HTTP 400; application created=false; message=Only validated PDF, DOC, and DOCX documents are allowed..</t>
        </is>
      </c>
      <c r="M230" s="5" t="inlineStr">
        <is>
          <t>EV-SEC-002</t>
        </is>
      </c>
      <c r="N230" s="5" t="inlineStr">
        <is>
          <t>Pass</t>
        </is>
      </c>
      <c r="O230" s="5" t="inlineStr"/>
      <c r="P230" s="10" t="inlineStr"/>
      <c r="Q230" s="11" t="inlineStr"/>
      <c r="R230" s="12" t="n">
        <v>46275</v>
      </c>
      <c r="S230" s="5" t="inlineStr"/>
      <c r="T230" s="12" t="inlineStr"/>
      <c r="U230" s="5" t="inlineStr">
        <is>
          <t>Evaluated negative security/privacy output case against healthy staging services using synthetic data.</t>
        </is>
      </c>
    </row>
    <row r="231">
      <c r="A231" s="4" t="inlineStr">
        <is>
          <t>SEC-15</t>
        </is>
      </c>
      <c r="B231" s="5" t="inlineStr">
        <is>
          <t>Security and Privacy</t>
        </is>
      </c>
      <c r="C231" s="5" t="inlineStr">
        <is>
          <t>Business logic</t>
        </is>
      </c>
      <c r="D231" s="5" t="inlineStr">
        <is>
          <t>Development Team</t>
        </is>
      </c>
      <c r="E231" s="5" t="inlineStr">
        <is>
          <t>High</t>
        </is>
      </c>
      <c r="F231" s="5" t="inlineStr">
        <is>
          <t>N/A</t>
        </is>
      </c>
      <c r="G231" s="5" t="inlineStr">
        <is>
          <t>Local first; staging safe checks only</t>
        </is>
      </c>
      <c r="H231" s="5" t="inlineStr">
        <is>
          <t>Use fictional test accounts and non-destructive payloads.</t>
        </is>
      </c>
      <c r="I231" s="5" t="inlineStr">
        <is>
          <t>Submit the same application twice.</t>
        </is>
      </c>
      <c r="J231" s="5" t="inlineStr">
        <is>
          <t>Record the authorized baseline; issue the negative request; record HTTP status/body and database/UI state; verify no secret appears in logs or response.</t>
        </is>
      </c>
      <c r="K231" s="5" t="inlineStr">
        <is>
          <t>Duplicate submission is prevented or handled explicitly.</t>
        </is>
      </c>
      <c r="L231" s="5" t="inlineStr">
        <is>
          <t>First submission HTTP 201; duplicate HTTP 400; one new application located=true.</t>
        </is>
      </c>
      <c r="M231" s="5" t="inlineStr">
        <is>
          <t>EV-SEC-002</t>
        </is>
      </c>
      <c r="N231" s="5" t="inlineStr">
        <is>
          <t>Pass</t>
        </is>
      </c>
      <c r="O231" s="5" t="inlineStr"/>
      <c r="P231" s="10" t="inlineStr"/>
      <c r="Q231" s="11" t="inlineStr"/>
      <c r="R231" s="12" t="n">
        <v>46275</v>
      </c>
      <c r="S231" s="5" t="inlineStr"/>
      <c r="T231" s="12" t="inlineStr"/>
      <c r="U231" s="5" t="inlineStr">
        <is>
          <t>Evaluated negative security/privacy output case against healthy staging services using synthetic data.</t>
        </is>
      </c>
    </row>
    <row r="232">
      <c r="A232" s="4" t="inlineStr">
        <is>
          <t>SEC-16</t>
        </is>
      </c>
      <c r="B232" s="5" t="inlineStr">
        <is>
          <t>Security and Privacy</t>
        </is>
      </c>
      <c r="C232" s="5" t="inlineStr">
        <is>
          <t>Password reset</t>
        </is>
      </c>
      <c r="D232" s="5" t="inlineStr">
        <is>
          <t>Development Team</t>
        </is>
      </c>
      <c r="E232" s="5" t="inlineStr">
        <is>
          <t>High</t>
        </is>
      </c>
      <c r="F232" s="5" t="inlineStr">
        <is>
          <t>N/A</t>
        </is>
      </c>
      <c r="G232" s="5" t="inlineStr">
        <is>
          <t>Local first; staging safe checks only</t>
        </is>
      </c>
      <c r="H232" s="5" t="inlineStr">
        <is>
          <t>Use fictional test accounts and non-destructive payloads.</t>
        </is>
      </c>
      <c r="I232" s="5" t="inlineStr">
        <is>
          <t>Reuse a consumed password-reset token.</t>
        </is>
      </c>
      <c r="J232" s="5" t="inlineStr">
        <is>
          <t>Record the authorized baseline; issue the negative request; record HTTP status/body and database/UI state; verify no secret appears in logs or response.</t>
        </is>
      </c>
      <c r="K232" s="5" t="inlineStr">
        <is>
          <t>Token reuse is rejected.</t>
        </is>
      </c>
      <c r="L232" s="5" t="inlineStr">
        <is>
          <t>Password-reset token reuse requires delivery or controlled retrieval of a real staging reset token; staging mail delivery is disabled.</t>
        </is>
      </c>
      <c r="M232" s="5" t="inlineStr">
        <is>
          <t>EV-SEC-002</t>
        </is>
      </c>
      <c r="N232" s="5" t="inlineStr">
        <is>
          <t>Blocked</t>
        </is>
      </c>
      <c r="O232" s="5" t="inlineStr"/>
      <c r="P232" s="10" t="inlineStr"/>
      <c r="Q232" s="11" t="inlineStr"/>
      <c r="R232" s="12" t="n">
        <v>46275</v>
      </c>
      <c r="S232" s="5" t="inlineStr"/>
      <c r="T232" s="12" t="inlineStr"/>
      <c r="U232" s="5" t="inlineStr">
        <is>
          <t>Excluded from the executed security rate because the required staging precondition was unavailable.</t>
        </is>
      </c>
    </row>
    <row r="233">
      <c r="A233" s="4" t="inlineStr">
        <is>
          <t>SEC-17</t>
        </is>
      </c>
      <c r="B233" s="5" t="inlineStr">
        <is>
          <t>Security and Privacy</t>
        </is>
      </c>
      <c r="C233" s="5" t="inlineStr">
        <is>
          <t>AI consent</t>
        </is>
      </c>
      <c r="D233" s="5" t="inlineStr">
        <is>
          <t>Development Team</t>
        </is>
      </c>
      <c r="E233" s="5" t="inlineStr">
        <is>
          <t>High</t>
        </is>
      </c>
      <c r="F233" s="5" t="inlineStr">
        <is>
          <t>N/A</t>
        </is>
      </c>
      <c r="G233" s="5" t="inlineStr">
        <is>
          <t>Local first; staging safe checks only</t>
        </is>
      </c>
      <c r="H233" s="5" t="inlineStr">
        <is>
          <t>Use fictional test accounts and non-destructive payloads.</t>
        </is>
      </c>
      <c r="I233" s="5" t="inlineStr">
        <is>
          <t>Request AI suggestions without current consent/version.</t>
        </is>
      </c>
      <c r="J233" s="5" t="inlineStr">
        <is>
          <t>Record the authorized baseline; issue the negative request; record HTTP status/body and database/UI state; verify no secret appears in logs or response.</t>
        </is>
      </c>
      <c r="K233" s="5" t="inlineStr">
        <is>
          <t>Request is rejected and narrative is not processed.</t>
        </is>
      </c>
      <c r="L233" s="5" t="inlineStr">
        <is>
          <t>AI profile request without consent returned HTTP 400.</t>
        </is>
      </c>
      <c r="M233" s="5" t="inlineStr">
        <is>
          <t>EV-SEC-002</t>
        </is>
      </c>
      <c r="N233" s="5" t="inlineStr">
        <is>
          <t>Pass</t>
        </is>
      </c>
      <c r="O233" s="5" t="inlineStr"/>
      <c r="P233" s="10" t="inlineStr"/>
      <c r="Q233" s="11" t="inlineStr"/>
      <c r="R233" s="12" t="n">
        <v>46275</v>
      </c>
      <c r="S233" s="5" t="inlineStr"/>
      <c r="T233" s="12" t="inlineStr"/>
      <c r="U233" s="5" t="inlineStr">
        <is>
          <t>Evaluated negative security/privacy output case against healthy staging services using synthetic data.</t>
        </is>
      </c>
    </row>
    <row r="234">
      <c r="A234" s="4" t="inlineStr">
        <is>
          <t>SEC-18</t>
        </is>
      </c>
      <c r="B234" s="5" t="inlineStr">
        <is>
          <t>Security and Privacy</t>
        </is>
      </c>
      <c r="C234" s="5" t="inlineStr">
        <is>
          <t>AI authorization</t>
        </is>
      </c>
      <c r="D234" s="5" t="inlineStr">
        <is>
          <t>Development Team</t>
        </is>
      </c>
      <c r="E234" s="5" t="inlineStr">
        <is>
          <t>High</t>
        </is>
      </c>
      <c r="F234" s="5" t="inlineStr">
        <is>
          <t>N/A</t>
        </is>
      </c>
      <c r="G234" s="5" t="inlineStr">
        <is>
          <t>Local first; staging safe checks only</t>
        </is>
      </c>
      <c r="H234" s="5" t="inlineStr">
        <is>
          <t>Use fictional test accounts and non-destructive payloads.</t>
        </is>
      </c>
      <c r="I234" s="5" t="inlineStr">
        <is>
          <t>Confirm an invented task or job identifier.</t>
        </is>
      </c>
      <c r="J234" s="5" t="inlineStr">
        <is>
          <t>Record the authorized baseline; issue the negative request; record HTTP status/body and database/UI state; verify no secret appears in logs or response.</t>
        </is>
      </c>
      <c r="K234" s="5" t="inlineStr">
        <is>
          <t>Unknown identifier is rejected.</t>
        </is>
      </c>
      <c r="L234" s="5" t="inlineStr">
        <is>
          <t>Invented task identifier confirmation returned HTTP 400.</t>
        </is>
      </c>
      <c r="M234" s="5" t="inlineStr">
        <is>
          <t>EV-SEC-002</t>
        </is>
      </c>
      <c r="N234" s="5" t="inlineStr">
        <is>
          <t>Pass</t>
        </is>
      </c>
      <c r="O234" s="5" t="inlineStr"/>
      <c r="P234" s="10" t="inlineStr"/>
      <c r="Q234" s="11" t="inlineStr"/>
      <c r="R234" s="12" t="n">
        <v>46275</v>
      </c>
      <c r="S234" s="5" t="inlineStr"/>
      <c r="T234" s="12" t="inlineStr"/>
      <c r="U234" s="5" t="inlineStr">
        <is>
          <t>Evaluated negative security/privacy output case against healthy staging services using synthetic data.</t>
        </is>
      </c>
    </row>
    <row r="235">
      <c r="A235" s="4" t="inlineStr">
        <is>
          <t>SEC-19</t>
        </is>
      </c>
      <c r="B235" s="5" t="inlineStr">
        <is>
          <t>Security and Privacy</t>
        </is>
      </c>
      <c r="C235" s="5" t="inlineStr">
        <is>
          <t>Voice authorization</t>
        </is>
      </c>
      <c r="D235" s="5" t="inlineStr">
        <is>
          <t>Development Team</t>
        </is>
      </c>
      <c r="E235" s="5" t="inlineStr">
        <is>
          <t>High</t>
        </is>
      </c>
      <c r="F235" s="5" t="inlineStr">
        <is>
          <t>N/A</t>
        </is>
      </c>
      <c r="G235" s="5" t="inlineStr">
        <is>
          <t>Local first; staging safe checks only</t>
        </is>
      </c>
      <c r="H235" s="5" t="inlineStr">
        <is>
          <t>Use fictional test accounts and non-destructive payloads.</t>
        </is>
      </c>
      <c r="I235" s="5" t="inlineStr">
        <is>
          <t>Request an unavailable or wrong-role voice action.</t>
        </is>
      </c>
      <c r="J235" s="5" t="inlineStr">
        <is>
          <t>Record the authorized baseline; issue the negative request; record HTTP status/body and database/UI state; verify no secret appears in logs or response.</t>
        </is>
      </c>
      <c r="K235" s="5" t="inlineStr">
        <is>
          <t>Action is rejected without dispatch.</t>
        </is>
      </c>
      <c r="L235" s="5" t="inlineStr">
        <is>
          <t>Wrong-role voice action returned HTTP 200; route status=rejected; action object present=true.</t>
        </is>
      </c>
      <c r="M235" s="5" t="inlineStr">
        <is>
          <t>EV-SEC-002</t>
        </is>
      </c>
      <c r="N235" s="5" t="inlineStr">
        <is>
          <t>Pass</t>
        </is>
      </c>
      <c r="O235" s="5" t="inlineStr"/>
      <c r="P235" s="10" t="inlineStr"/>
      <c r="Q235" s="11" t="inlineStr"/>
      <c r="R235" s="12" t="n">
        <v>46275</v>
      </c>
      <c r="S235" s="5" t="inlineStr"/>
      <c r="T235" s="12" t="inlineStr"/>
      <c r="U235" s="5" t="inlineStr">
        <is>
          <t>Evaluated negative security/privacy output case against healthy staging services using synthetic data.</t>
        </is>
      </c>
    </row>
    <row r="236">
      <c r="A236" s="4" t="inlineStr">
        <is>
          <t>SEC-20</t>
        </is>
      </c>
      <c r="B236" s="5" t="inlineStr">
        <is>
          <t>Security and Privacy</t>
        </is>
      </c>
      <c r="C236" s="5" t="inlineStr">
        <is>
          <t>Privacy</t>
        </is>
      </c>
      <c r="D236" s="5" t="inlineStr">
        <is>
          <t>Development Team</t>
        </is>
      </c>
      <c r="E236" s="5" t="inlineStr">
        <is>
          <t>High</t>
        </is>
      </c>
      <c r="F236" s="5" t="inlineStr">
        <is>
          <t>N/A</t>
        </is>
      </c>
      <c r="G236" s="5" t="inlineStr">
        <is>
          <t>Local first; staging safe checks only</t>
        </is>
      </c>
      <c r="H236" s="5" t="inlineStr">
        <is>
          <t>Use fictional test accounts and non-destructive payloads.</t>
        </is>
      </c>
      <c r="I236" s="5" t="inlineStr">
        <is>
          <t>Reset the candidate profile and retrieve it again.</t>
        </is>
      </c>
      <c r="J236" s="5" t="inlineStr">
        <is>
          <t>Record the authorized baseline; issue the negative request; record HTTP status/body and database/UI state; verify no secret appears in logs or response.</t>
        </is>
      </c>
      <c r="K236" s="5" t="inlineStr">
        <is>
          <t>All intended profile selections and confirmed skills are cleared.</t>
        </is>
      </c>
      <c r="L236" s="5" t="inlineStr">
        <is>
          <t>Reset HTTP 200; retrieved profile cleared=true.</t>
        </is>
      </c>
      <c r="M236" s="5" t="inlineStr">
        <is>
          <t>EV-SEC-002</t>
        </is>
      </c>
      <c r="N236" s="5" t="inlineStr">
        <is>
          <t>Pass</t>
        </is>
      </c>
      <c r="O236" s="5" t="inlineStr"/>
      <c r="P236" s="10" t="inlineStr"/>
      <c r="Q236" s="11" t="inlineStr"/>
      <c r="R236" s="12" t="n">
        <v>46275</v>
      </c>
      <c r="S236" s="5" t="inlineStr"/>
      <c r="T236" s="12" t="inlineStr"/>
      <c r="U236" s="5" t="inlineStr">
        <is>
          <t>Evaluated negative security/privacy output case against healthy staging services using synthetic data.</t>
        </is>
      </c>
    </row>
    <row r="237">
      <c r="A237" s="4" t="inlineStr">
        <is>
          <t>ACC-01-KB</t>
        </is>
      </c>
      <c r="B237" s="5" t="inlineStr">
        <is>
          <t>Accessibility</t>
        </is>
      </c>
      <c r="C237" s="5" t="inlineStr">
        <is>
          <t>Sign in</t>
        </is>
      </c>
      <c r="D237" s="5" t="inlineStr">
        <is>
          <t>Development Team</t>
        </is>
      </c>
      <c r="E237" s="5" t="inlineStr">
        <is>
          <t>Critical</t>
        </is>
      </c>
      <c r="F237" s="5" t="inlineStr">
        <is>
          <t>English; sample Arabic RTL where relevant</t>
        </is>
      </c>
      <c r="G237" s="5" t="inlineStr">
        <is>
          <t>Keyboard only</t>
        </is>
      </c>
      <c r="H237" s="5" t="inlineStr">
        <is>
          <t>Browser cache cleared; assistive technology/configuration recorded; test data prepared.</t>
        </is>
      </c>
      <c r="I237" s="5" t="inlineStr">
        <is>
          <t>Complete the Sign in journey using Keyboard only.</t>
        </is>
      </c>
      <c r="J237" s="5" t="inlineStr">
        <is>
          <t>Start from the same initial state; complete without mouse where applicable; record blockers, assistance, focus/announcement observations and screenshots.</t>
        </is>
      </c>
      <c r="K237" s="5" t="inlineStr">
        <is>
          <t>Reach the correct dashboard and hear/focus validation errors. Logical focus order, visible focus, operable controls and no keyboard trap.</t>
        </is>
      </c>
      <c r="L237" s="5" t="inlineStr"/>
      <c r="M237" s="5" t="inlineStr"/>
      <c r="N237" s="5" t="inlineStr"/>
      <c r="O237" s="5" t="inlineStr"/>
      <c r="P237" s="10" t="inlineStr"/>
      <c r="Q237" s="11" t="inlineStr"/>
      <c r="R237" s="12" t="inlineStr"/>
      <c r="S237" s="5" t="inlineStr"/>
      <c r="T237" s="12" t="inlineStr"/>
      <c r="U237" s="5" t="inlineStr"/>
    </row>
    <row r="238">
      <c r="A238" s="4" t="inlineStr">
        <is>
          <t>ACC-01-ZM</t>
        </is>
      </c>
      <c r="B238" s="5" t="inlineStr">
        <is>
          <t>Accessibility</t>
        </is>
      </c>
      <c r="C238" s="5" t="inlineStr">
        <is>
          <t>Sign in</t>
        </is>
      </c>
      <c r="D238" s="5" t="inlineStr">
        <is>
          <t>Development Team</t>
        </is>
      </c>
      <c r="E238" s="5" t="inlineStr">
        <is>
          <t>Critical</t>
        </is>
      </c>
      <c r="F238" s="5" t="inlineStr">
        <is>
          <t>English; sample Arabic RTL where relevant</t>
        </is>
      </c>
      <c r="G238" s="5" t="inlineStr">
        <is>
          <t>200% zoom / responsive reflow</t>
        </is>
      </c>
      <c r="H238" s="5" t="inlineStr">
        <is>
          <t>Browser cache cleared; assistive technology/configuration recorded; test data prepared.</t>
        </is>
      </c>
      <c r="I238" s="5" t="inlineStr">
        <is>
          <t>Complete the Sign in journey using 200% zoom / responsive reflow.</t>
        </is>
      </c>
      <c r="J238" s="5" t="inlineStr">
        <is>
          <t>Start from the same initial state; complete without mouse where applicable; record blockers, assistance, focus/announcement observations and screenshots.</t>
        </is>
      </c>
      <c r="K238" s="5" t="inlineStr">
        <is>
          <t>Reach the correct dashboard and hear/focus validation errors. No two-dimensional scrolling for normal content and no hidden essential control.</t>
        </is>
      </c>
      <c r="L238" s="5" t="inlineStr"/>
      <c r="M238" s="5" t="inlineStr"/>
      <c r="N238" s="5" t="inlineStr"/>
      <c r="O238" s="5" t="inlineStr"/>
      <c r="P238" s="10" t="inlineStr"/>
      <c r="Q238" s="11" t="inlineStr"/>
      <c r="R238" s="12" t="inlineStr"/>
      <c r="S238" s="5" t="inlineStr"/>
      <c r="T238" s="12" t="inlineStr"/>
      <c r="U238" s="5" t="inlineStr"/>
    </row>
    <row r="239">
      <c r="A239" s="4" t="inlineStr">
        <is>
          <t>ACC-01-SR</t>
        </is>
      </c>
      <c r="B239" s="5" t="inlineStr">
        <is>
          <t>Accessibility</t>
        </is>
      </c>
      <c r="C239" s="5" t="inlineStr">
        <is>
          <t>Sign in</t>
        </is>
      </c>
      <c r="D239" s="5" t="inlineStr">
        <is>
          <t>Development Team</t>
        </is>
      </c>
      <c r="E239" s="5" t="inlineStr">
        <is>
          <t>Critical</t>
        </is>
      </c>
      <c r="F239" s="5" t="inlineStr">
        <is>
          <t>English; sample Arabic RTL where relevant</t>
        </is>
      </c>
      <c r="G239" s="5" t="inlineStr">
        <is>
          <t>JAWS or NVDA</t>
        </is>
      </c>
      <c r="H239" s="5" t="inlineStr">
        <is>
          <t>Browser cache cleared; assistive technology/configuration recorded; test data prepared.</t>
        </is>
      </c>
      <c r="I239" s="5" t="inlineStr">
        <is>
          <t>Complete the Sign in journey using JAWS or NVDA.</t>
        </is>
      </c>
      <c r="J239" s="5" t="inlineStr">
        <is>
          <t>Start from the same initial state; complete without mouse where applicable; record blockers, assistance, focus/announcement observations and screenshots.</t>
        </is>
      </c>
      <c r="K239" s="5" t="inlineStr">
        <is>
          <t>Reach the correct dashboard and hear/focus validation errors. Labels, headings, errors, status changes and dialogs are announced meaningfully.</t>
        </is>
      </c>
      <c r="L239" s="5" t="inlineStr"/>
      <c r="M239" s="5" t="inlineStr"/>
      <c r="N239" s="5" t="inlineStr"/>
      <c r="O239" s="5" t="inlineStr"/>
      <c r="P239" s="10" t="inlineStr"/>
      <c r="Q239" s="11" t="inlineStr"/>
      <c r="R239" s="12" t="inlineStr"/>
      <c r="S239" s="5" t="inlineStr"/>
      <c r="T239" s="12" t="inlineStr"/>
      <c r="U239" s="5" t="inlineStr"/>
    </row>
    <row r="240">
      <c r="A240" s="4" t="inlineStr">
        <is>
          <t>ACC-02-KB</t>
        </is>
      </c>
      <c r="B240" s="5" t="inlineStr">
        <is>
          <t>Accessibility</t>
        </is>
      </c>
      <c r="C240" s="5" t="inlineStr">
        <is>
          <t>Build profile</t>
        </is>
      </c>
      <c r="D240" s="5" t="inlineStr">
        <is>
          <t>Development Team</t>
        </is>
      </c>
      <c r="E240" s="5" t="inlineStr">
        <is>
          <t>Critical</t>
        </is>
      </c>
      <c r="F240" s="5" t="inlineStr">
        <is>
          <t>English; sample Arabic RTL where relevant</t>
        </is>
      </c>
      <c r="G240" s="5" t="inlineStr">
        <is>
          <t>Keyboard only</t>
        </is>
      </c>
      <c r="H240" s="5" t="inlineStr">
        <is>
          <t>Browser cache cleared; assistive technology/configuration recorded; test data prepared.</t>
        </is>
      </c>
      <c r="I240" s="5" t="inlineStr">
        <is>
          <t>Complete the Build profile journey using Keyboard only.</t>
        </is>
      </c>
      <c r="J240" s="5" t="inlineStr">
        <is>
          <t>Start from the same initial state; complete without mouse where applicable; record blockers, assistance, focus/announcement observations and screenshots.</t>
        </is>
      </c>
      <c r="K240" s="5" t="inlineStr">
        <is>
          <t>Complete required fields and save without an inaccessible control. Logical focus order, visible focus, operable controls and no keyboard trap.</t>
        </is>
      </c>
      <c r="L240" s="5" t="inlineStr"/>
      <c r="M240" s="5" t="inlineStr"/>
      <c r="N240" s="5" t="inlineStr"/>
      <c r="O240" s="5" t="inlineStr"/>
      <c r="P240" s="10" t="inlineStr"/>
      <c r="Q240" s="11" t="inlineStr"/>
      <c r="R240" s="12" t="inlineStr"/>
      <c r="S240" s="5" t="inlineStr"/>
      <c r="T240" s="12" t="inlineStr"/>
      <c r="U240" s="5" t="inlineStr"/>
    </row>
    <row r="241">
      <c r="A241" s="4" t="inlineStr">
        <is>
          <t>ACC-02-ZM</t>
        </is>
      </c>
      <c r="B241" s="5" t="inlineStr">
        <is>
          <t>Accessibility</t>
        </is>
      </c>
      <c r="C241" s="5" t="inlineStr">
        <is>
          <t>Build profile</t>
        </is>
      </c>
      <c r="D241" s="5" t="inlineStr">
        <is>
          <t>Development Team</t>
        </is>
      </c>
      <c r="E241" s="5" t="inlineStr">
        <is>
          <t>Critical</t>
        </is>
      </c>
      <c r="F241" s="5" t="inlineStr">
        <is>
          <t>English; sample Arabic RTL where relevant</t>
        </is>
      </c>
      <c r="G241" s="5" t="inlineStr">
        <is>
          <t>200% zoom / responsive reflow</t>
        </is>
      </c>
      <c r="H241" s="5" t="inlineStr">
        <is>
          <t>Browser cache cleared; assistive technology/configuration recorded; test data prepared.</t>
        </is>
      </c>
      <c r="I241" s="5" t="inlineStr">
        <is>
          <t>Complete the Build profile journey using 200% zoom / responsive reflow.</t>
        </is>
      </c>
      <c r="J241" s="5" t="inlineStr">
        <is>
          <t>Start from the same initial state; complete without mouse where applicable; record blockers, assistance, focus/announcement observations and screenshots.</t>
        </is>
      </c>
      <c r="K241" s="5" t="inlineStr">
        <is>
          <t>Complete required fields and save without an inaccessible control. No two-dimensional scrolling for normal content and no hidden essential control.</t>
        </is>
      </c>
      <c r="L241" s="5" t="inlineStr"/>
      <c r="M241" s="5" t="inlineStr"/>
      <c r="N241" s="5" t="inlineStr"/>
      <c r="O241" s="5" t="inlineStr"/>
      <c r="P241" s="10" t="inlineStr"/>
      <c r="Q241" s="11" t="inlineStr"/>
      <c r="R241" s="12" t="inlineStr"/>
      <c r="S241" s="5" t="inlineStr"/>
      <c r="T241" s="12" t="inlineStr"/>
      <c r="U241" s="5" t="inlineStr"/>
    </row>
    <row r="242">
      <c r="A242" s="4" t="inlineStr">
        <is>
          <t>ACC-02-SR</t>
        </is>
      </c>
      <c r="B242" s="5" t="inlineStr">
        <is>
          <t>Accessibility</t>
        </is>
      </c>
      <c r="C242" s="5" t="inlineStr">
        <is>
          <t>Build profile</t>
        </is>
      </c>
      <c r="D242" s="5" t="inlineStr">
        <is>
          <t>Development Team</t>
        </is>
      </c>
      <c r="E242" s="5" t="inlineStr">
        <is>
          <t>Critical</t>
        </is>
      </c>
      <c r="F242" s="5" t="inlineStr">
        <is>
          <t>English; sample Arabic RTL where relevant</t>
        </is>
      </c>
      <c r="G242" s="5" t="inlineStr">
        <is>
          <t>JAWS or NVDA</t>
        </is>
      </c>
      <c r="H242" s="5" t="inlineStr">
        <is>
          <t>Browser cache cleared; assistive technology/configuration recorded; test data prepared.</t>
        </is>
      </c>
      <c r="I242" s="5" t="inlineStr">
        <is>
          <t>Complete the Build profile journey using JAWS or NVDA.</t>
        </is>
      </c>
      <c r="J242" s="5" t="inlineStr">
        <is>
          <t>Start from the same initial state; complete without mouse where applicable; record blockers, assistance, focus/announcement observations and screenshots.</t>
        </is>
      </c>
      <c r="K242" s="5" t="inlineStr">
        <is>
          <t>Complete required fields and save without an inaccessible control. Labels, headings, errors, status changes and dialogs are announced meaningfully.</t>
        </is>
      </c>
      <c r="L242" s="5" t="inlineStr"/>
      <c r="M242" s="5" t="inlineStr"/>
      <c r="N242" s="5" t="inlineStr"/>
      <c r="O242" s="5" t="inlineStr"/>
      <c r="P242" s="10" t="inlineStr"/>
      <c r="Q242" s="11" t="inlineStr"/>
      <c r="R242" s="12" t="inlineStr"/>
      <c r="S242" s="5" t="inlineStr"/>
      <c r="T242" s="12" t="inlineStr"/>
      <c r="U242" s="5" t="inlineStr"/>
    </row>
    <row r="243">
      <c r="A243" s="4" t="inlineStr">
        <is>
          <t>ACC-03-KB</t>
        </is>
      </c>
      <c r="B243" s="5" t="inlineStr">
        <is>
          <t>Accessibility</t>
        </is>
      </c>
      <c r="C243" s="5" t="inlineStr">
        <is>
          <t>AI profile review</t>
        </is>
      </c>
      <c r="D243" s="5" t="inlineStr">
        <is>
          <t>Development Team</t>
        </is>
      </c>
      <c r="E243" s="5" t="inlineStr">
        <is>
          <t>Critical</t>
        </is>
      </c>
      <c r="F243" s="5" t="inlineStr">
        <is>
          <t>English; sample Arabic RTL where relevant</t>
        </is>
      </c>
      <c r="G243" s="5" t="inlineStr">
        <is>
          <t>Keyboard only</t>
        </is>
      </c>
      <c r="H243" s="5" t="inlineStr">
        <is>
          <t>Browser cache cleared; assistive technology/configuration recorded; test data prepared.</t>
        </is>
      </c>
      <c r="I243" s="5" t="inlineStr">
        <is>
          <t>Complete the AI profile review journey using Keyboard only.</t>
        </is>
      </c>
      <c r="J243" s="5" t="inlineStr">
        <is>
          <t>Start from the same initial state; complete without mouse where applicable; record blockers, assistance, focus/announcement observations and screenshots.</t>
        </is>
      </c>
      <c r="K243" s="5" t="inlineStr">
        <is>
          <t>Enter text, consent, review and confirm suggestions accessibly. Logical focus order, visible focus, operable controls and no keyboard trap.</t>
        </is>
      </c>
      <c r="L243" s="5" t="inlineStr"/>
      <c r="M243" s="5" t="inlineStr"/>
      <c r="N243" s="5" t="inlineStr"/>
      <c r="O243" s="5" t="inlineStr"/>
      <c r="P243" s="10" t="inlineStr"/>
      <c r="Q243" s="11" t="inlineStr"/>
      <c r="R243" s="12" t="inlineStr"/>
      <c r="S243" s="5" t="inlineStr"/>
      <c r="T243" s="12" t="inlineStr"/>
      <c r="U243" s="5" t="inlineStr"/>
    </row>
    <row r="244">
      <c r="A244" s="4" t="inlineStr">
        <is>
          <t>ACC-03-ZM</t>
        </is>
      </c>
      <c r="B244" s="5" t="inlineStr">
        <is>
          <t>Accessibility</t>
        </is>
      </c>
      <c r="C244" s="5" t="inlineStr">
        <is>
          <t>AI profile review</t>
        </is>
      </c>
      <c r="D244" s="5" t="inlineStr">
        <is>
          <t>Development Team</t>
        </is>
      </c>
      <c r="E244" s="5" t="inlineStr">
        <is>
          <t>Critical</t>
        </is>
      </c>
      <c r="F244" s="5" t="inlineStr">
        <is>
          <t>English; sample Arabic RTL where relevant</t>
        </is>
      </c>
      <c r="G244" s="5" t="inlineStr">
        <is>
          <t>200% zoom / responsive reflow</t>
        </is>
      </c>
      <c r="H244" s="5" t="inlineStr">
        <is>
          <t>Browser cache cleared; assistive technology/configuration recorded; test data prepared.</t>
        </is>
      </c>
      <c r="I244" s="5" t="inlineStr">
        <is>
          <t>Complete the AI profile review journey using 200% zoom / responsive reflow.</t>
        </is>
      </c>
      <c r="J244" s="5" t="inlineStr">
        <is>
          <t>Start from the same initial state; complete without mouse where applicable; record blockers, assistance, focus/announcement observations and screenshots.</t>
        </is>
      </c>
      <c r="K244" s="5" t="inlineStr">
        <is>
          <t>Enter text, consent, review and confirm suggestions accessibly. No two-dimensional scrolling for normal content and no hidden essential control.</t>
        </is>
      </c>
      <c r="L244" s="5" t="inlineStr"/>
      <c r="M244" s="5" t="inlineStr"/>
      <c r="N244" s="5" t="inlineStr"/>
      <c r="O244" s="5" t="inlineStr"/>
      <c r="P244" s="10" t="inlineStr"/>
      <c r="Q244" s="11" t="inlineStr"/>
      <c r="R244" s="12" t="inlineStr"/>
      <c r="S244" s="5" t="inlineStr"/>
      <c r="T244" s="12" t="inlineStr"/>
      <c r="U244" s="5" t="inlineStr"/>
    </row>
    <row r="245">
      <c r="A245" s="4" t="inlineStr">
        <is>
          <t>ACC-03-SR</t>
        </is>
      </c>
      <c r="B245" s="5" t="inlineStr">
        <is>
          <t>Accessibility</t>
        </is>
      </c>
      <c r="C245" s="5" t="inlineStr">
        <is>
          <t>AI profile review</t>
        </is>
      </c>
      <c r="D245" s="5" t="inlineStr">
        <is>
          <t>Development Team</t>
        </is>
      </c>
      <c r="E245" s="5" t="inlineStr">
        <is>
          <t>Critical</t>
        </is>
      </c>
      <c r="F245" s="5" t="inlineStr">
        <is>
          <t>English; sample Arabic RTL where relevant</t>
        </is>
      </c>
      <c r="G245" s="5" t="inlineStr">
        <is>
          <t>JAWS or NVDA</t>
        </is>
      </c>
      <c r="H245" s="5" t="inlineStr">
        <is>
          <t>Browser cache cleared; assistive technology/configuration recorded; test data prepared.</t>
        </is>
      </c>
      <c r="I245" s="5" t="inlineStr">
        <is>
          <t>Complete the AI profile review journey using JAWS or NVDA.</t>
        </is>
      </c>
      <c r="J245" s="5" t="inlineStr">
        <is>
          <t>Start from the same initial state; complete without mouse where applicable; record blockers, assistance, focus/announcement observations and screenshots.</t>
        </is>
      </c>
      <c r="K245" s="5" t="inlineStr">
        <is>
          <t>Enter text, consent, review and confirm suggestions accessibly. Labels, headings, errors, status changes and dialogs are announced meaningfully.</t>
        </is>
      </c>
      <c r="L245" s="5" t="inlineStr"/>
      <c r="M245" s="5" t="inlineStr"/>
      <c r="N245" s="5" t="inlineStr"/>
      <c r="O245" s="5" t="inlineStr"/>
      <c r="P245" s="10" t="inlineStr"/>
      <c r="Q245" s="11" t="inlineStr"/>
      <c r="R245" s="12" t="inlineStr"/>
      <c r="S245" s="5" t="inlineStr"/>
      <c r="T245" s="12" t="inlineStr"/>
      <c r="U245" s="5" t="inlineStr"/>
    </row>
    <row r="246">
      <c r="A246" s="4" t="inlineStr">
        <is>
          <t>ACC-04-KB</t>
        </is>
      </c>
      <c r="B246" s="5" t="inlineStr">
        <is>
          <t>Accessibility</t>
        </is>
      </c>
      <c r="C246" s="5" t="inlineStr">
        <is>
          <t>Match opportunity</t>
        </is>
      </c>
      <c r="D246" s="5" t="inlineStr">
        <is>
          <t>Development Team</t>
        </is>
      </c>
      <c r="E246" s="5" t="inlineStr">
        <is>
          <t>Critical</t>
        </is>
      </c>
      <c r="F246" s="5" t="inlineStr">
        <is>
          <t>English; sample Arabic RTL where relevant</t>
        </is>
      </c>
      <c r="G246" s="5" t="inlineStr">
        <is>
          <t>Keyboard only</t>
        </is>
      </c>
      <c r="H246" s="5" t="inlineStr">
        <is>
          <t>Browser cache cleared; assistive technology/configuration recorded; test data prepared.</t>
        </is>
      </c>
      <c r="I246" s="5" t="inlineStr">
        <is>
          <t>Complete the Match opportunity journey using Keyboard only.</t>
        </is>
      </c>
      <c r="J246" s="5" t="inlineStr">
        <is>
          <t>Start from the same initial state; complete without mouse where applicable; record blockers, assistance, focus/announcement observations and screenshots.</t>
        </is>
      </c>
      <c r="K246" s="5" t="inlineStr">
        <is>
          <t>Generate and understand a match result and explanation. Logical focus order, visible focus, operable controls and no keyboard trap.</t>
        </is>
      </c>
      <c r="L246" s="5" t="inlineStr"/>
      <c r="M246" s="5" t="inlineStr"/>
      <c r="N246" s="5" t="inlineStr"/>
      <c r="O246" s="5" t="inlineStr"/>
      <c r="P246" s="10" t="inlineStr"/>
      <c r="Q246" s="11" t="inlineStr"/>
      <c r="R246" s="12" t="inlineStr"/>
      <c r="S246" s="5" t="inlineStr"/>
      <c r="T246" s="12" t="inlineStr"/>
      <c r="U246" s="5" t="inlineStr"/>
    </row>
    <row r="247">
      <c r="A247" s="4" t="inlineStr">
        <is>
          <t>ACC-04-ZM</t>
        </is>
      </c>
      <c r="B247" s="5" t="inlineStr">
        <is>
          <t>Accessibility</t>
        </is>
      </c>
      <c r="C247" s="5" t="inlineStr">
        <is>
          <t>Match opportunity</t>
        </is>
      </c>
      <c r="D247" s="5" t="inlineStr">
        <is>
          <t>Development Team</t>
        </is>
      </c>
      <c r="E247" s="5" t="inlineStr">
        <is>
          <t>Critical</t>
        </is>
      </c>
      <c r="F247" s="5" t="inlineStr">
        <is>
          <t>English; sample Arabic RTL where relevant</t>
        </is>
      </c>
      <c r="G247" s="5" t="inlineStr">
        <is>
          <t>200% zoom / responsive reflow</t>
        </is>
      </c>
      <c r="H247" s="5" t="inlineStr">
        <is>
          <t>Browser cache cleared; assistive technology/configuration recorded; test data prepared.</t>
        </is>
      </c>
      <c r="I247" s="5" t="inlineStr">
        <is>
          <t>Complete the Match opportunity journey using 200% zoom / responsive reflow.</t>
        </is>
      </c>
      <c r="J247" s="5" t="inlineStr">
        <is>
          <t>Start from the same initial state; complete without mouse where applicable; record blockers, assistance, focus/announcement observations and screenshots.</t>
        </is>
      </c>
      <c r="K247" s="5" t="inlineStr">
        <is>
          <t>Generate and understand a match result and explanation. No two-dimensional scrolling for normal content and no hidden essential control.</t>
        </is>
      </c>
      <c r="L247" s="5" t="inlineStr"/>
      <c r="M247" s="5" t="inlineStr"/>
      <c r="N247" s="5" t="inlineStr"/>
      <c r="O247" s="5" t="inlineStr"/>
      <c r="P247" s="10" t="inlineStr"/>
      <c r="Q247" s="11" t="inlineStr"/>
      <c r="R247" s="12" t="inlineStr"/>
      <c r="S247" s="5" t="inlineStr"/>
      <c r="T247" s="12" t="inlineStr"/>
      <c r="U247" s="5" t="inlineStr"/>
    </row>
    <row r="248">
      <c r="A248" s="4" t="inlineStr">
        <is>
          <t>ACC-04-SR</t>
        </is>
      </c>
      <c r="B248" s="5" t="inlineStr">
        <is>
          <t>Accessibility</t>
        </is>
      </c>
      <c r="C248" s="5" t="inlineStr">
        <is>
          <t>Match opportunity</t>
        </is>
      </c>
      <c r="D248" s="5" t="inlineStr">
        <is>
          <t>Development Team</t>
        </is>
      </c>
      <c r="E248" s="5" t="inlineStr">
        <is>
          <t>Critical</t>
        </is>
      </c>
      <c r="F248" s="5" t="inlineStr">
        <is>
          <t>English; sample Arabic RTL where relevant</t>
        </is>
      </c>
      <c r="G248" s="5" t="inlineStr">
        <is>
          <t>JAWS or NVDA</t>
        </is>
      </c>
      <c r="H248" s="5" t="inlineStr">
        <is>
          <t>Browser cache cleared; assistive technology/configuration recorded; test data prepared.</t>
        </is>
      </c>
      <c r="I248" s="5" t="inlineStr">
        <is>
          <t>Complete the Match opportunity journey using JAWS or NVDA.</t>
        </is>
      </c>
      <c r="J248" s="5" t="inlineStr">
        <is>
          <t>Start from the same initial state; complete without mouse where applicable; record blockers, assistance, focus/announcement observations and screenshots.</t>
        </is>
      </c>
      <c r="K248" s="5" t="inlineStr">
        <is>
          <t>Generate and understand a match result and explanation. Labels, headings, errors, status changes and dialogs are announced meaningfully.</t>
        </is>
      </c>
      <c r="L248" s="5" t="inlineStr"/>
      <c r="M248" s="5" t="inlineStr"/>
      <c r="N248" s="5" t="inlineStr"/>
      <c r="O248" s="5" t="inlineStr"/>
      <c r="P248" s="10" t="inlineStr"/>
      <c r="Q248" s="11" t="inlineStr"/>
      <c r="R248" s="12" t="inlineStr"/>
      <c r="S248" s="5" t="inlineStr"/>
      <c r="T248" s="12" t="inlineStr"/>
      <c r="U248" s="5" t="inlineStr"/>
    </row>
    <row r="249">
      <c r="A249" s="4" t="inlineStr">
        <is>
          <t>ACC-05-KB</t>
        </is>
      </c>
      <c r="B249" s="5" t="inlineStr">
        <is>
          <t>Accessibility</t>
        </is>
      </c>
      <c r="C249" s="5" t="inlineStr">
        <is>
          <t>Submit application</t>
        </is>
      </c>
      <c r="D249" s="5" t="inlineStr">
        <is>
          <t>Development Team</t>
        </is>
      </c>
      <c r="E249" s="5" t="inlineStr">
        <is>
          <t>Critical</t>
        </is>
      </c>
      <c r="F249" s="5" t="inlineStr">
        <is>
          <t>English; sample Arabic RTL where relevant</t>
        </is>
      </c>
      <c r="G249" s="5" t="inlineStr">
        <is>
          <t>Keyboard only</t>
        </is>
      </c>
      <c r="H249" s="5" t="inlineStr">
        <is>
          <t>Browser cache cleared; assistive technology/configuration recorded; test data prepared.</t>
        </is>
      </c>
      <c r="I249" s="5" t="inlineStr">
        <is>
          <t>Complete the Submit application journey using Keyboard only.</t>
        </is>
      </c>
      <c r="J249" s="5" t="inlineStr">
        <is>
          <t>Start from the same initial state; complete without mouse where applicable; record blockers, assistance, focus/announcement observations and screenshots.</t>
        </is>
      </c>
      <c r="K249" s="5" t="inlineStr">
        <is>
          <t>Select files, handle errors and submit with confirmation. Logical focus order, visible focus, operable controls and no keyboard trap.</t>
        </is>
      </c>
      <c r="L249" s="5" t="inlineStr"/>
      <c r="M249" s="5" t="inlineStr"/>
      <c r="N249" s="5" t="inlineStr"/>
      <c r="O249" s="5" t="inlineStr"/>
      <c r="P249" s="10" t="inlineStr"/>
      <c r="Q249" s="11" t="inlineStr"/>
      <c r="R249" s="12" t="inlineStr"/>
      <c r="S249" s="5" t="inlineStr"/>
      <c r="T249" s="12" t="inlineStr"/>
      <c r="U249" s="5" t="inlineStr"/>
    </row>
    <row r="250">
      <c r="A250" s="4" t="inlineStr">
        <is>
          <t>ACC-05-ZM</t>
        </is>
      </c>
      <c r="B250" s="5" t="inlineStr">
        <is>
          <t>Accessibility</t>
        </is>
      </c>
      <c r="C250" s="5" t="inlineStr">
        <is>
          <t>Submit application</t>
        </is>
      </c>
      <c r="D250" s="5" t="inlineStr">
        <is>
          <t>Development Team</t>
        </is>
      </c>
      <c r="E250" s="5" t="inlineStr">
        <is>
          <t>Critical</t>
        </is>
      </c>
      <c r="F250" s="5" t="inlineStr">
        <is>
          <t>English; sample Arabic RTL where relevant</t>
        </is>
      </c>
      <c r="G250" s="5" t="inlineStr">
        <is>
          <t>200% zoom / responsive reflow</t>
        </is>
      </c>
      <c r="H250" s="5" t="inlineStr">
        <is>
          <t>Browser cache cleared; assistive technology/configuration recorded; test data prepared.</t>
        </is>
      </c>
      <c r="I250" s="5" t="inlineStr">
        <is>
          <t>Complete the Submit application journey using 200% zoom / responsive reflow.</t>
        </is>
      </c>
      <c r="J250" s="5" t="inlineStr">
        <is>
          <t>Start from the same initial state; complete without mouse where applicable; record blockers, assistance, focus/announcement observations and screenshots.</t>
        </is>
      </c>
      <c r="K250" s="5" t="inlineStr">
        <is>
          <t>Select files, handle errors and submit with confirmation. No two-dimensional scrolling for normal content and no hidden essential control.</t>
        </is>
      </c>
      <c r="L250" s="5" t="inlineStr"/>
      <c r="M250" s="5" t="inlineStr"/>
      <c r="N250" s="5" t="inlineStr"/>
      <c r="O250" s="5" t="inlineStr"/>
      <c r="P250" s="10" t="inlineStr"/>
      <c r="Q250" s="11" t="inlineStr"/>
      <c r="R250" s="12" t="inlineStr"/>
      <c r="S250" s="5" t="inlineStr"/>
      <c r="T250" s="12" t="inlineStr"/>
      <c r="U250" s="5" t="inlineStr"/>
    </row>
    <row r="251">
      <c r="A251" s="4" t="inlineStr">
        <is>
          <t>ACC-05-SR</t>
        </is>
      </c>
      <c r="B251" s="5" t="inlineStr">
        <is>
          <t>Accessibility</t>
        </is>
      </c>
      <c r="C251" s="5" t="inlineStr">
        <is>
          <t>Submit application</t>
        </is>
      </c>
      <c r="D251" s="5" t="inlineStr">
        <is>
          <t>Development Team</t>
        </is>
      </c>
      <c r="E251" s="5" t="inlineStr">
        <is>
          <t>Critical</t>
        </is>
      </c>
      <c r="F251" s="5" t="inlineStr">
        <is>
          <t>English; sample Arabic RTL where relevant</t>
        </is>
      </c>
      <c r="G251" s="5" t="inlineStr">
        <is>
          <t>JAWS or NVDA</t>
        </is>
      </c>
      <c r="H251" s="5" t="inlineStr">
        <is>
          <t>Browser cache cleared; assistive technology/configuration recorded; test data prepared.</t>
        </is>
      </c>
      <c r="I251" s="5" t="inlineStr">
        <is>
          <t>Complete the Submit application journey using JAWS or NVDA.</t>
        </is>
      </c>
      <c r="J251" s="5" t="inlineStr">
        <is>
          <t>Start from the same initial state; complete without mouse where applicable; record blockers, assistance, focus/announcement observations and screenshots.</t>
        </is>
      </c>
      <c r="K251" s="5" t="inlineStr">
        <is>
          <t>Select files, handle errors and submit with confirmation. Labels, headings, errors, status changes and dialogs are announced meaningfully.</t>
        </is>
      </c>
      <c r="L251" s="5" t="inlineStr"/>
      <c r="M251" s="5" t="inlineStr"/>
      <c r="N251" s="5" t="inlineStr"/>
      <c r="O251" s="5" t="inlineStr"/>
      <c r="P251" s="10" t="inlineStr"/>
      <c r="Q251" s="11" t="inlineStr"/>
      <c r="R251" s="12" t="inlineStr"/>
      <c r="S251" s="5" t="inlineStr"/>
      <c r="T251" s="12" t="inlineStr"/>
      <c r="U251" s="5" t="inlineStr"/>
    </row>
    <row r="252">
      <c r="A252" s="4" t="inlineStr">
        <is>
          <t>ACC-06-KB</t>
        </is>
      </c>
      <c r="B252" s="5" t="inlineStr">
        <is>
          <t>Accessibility</t>
        </is>
      </c>
      <c r="C252" s="5" t="inlineStr">
        <is>
          <t>Employer posts opportunity</t>
        </is>
      </c>
      <c r="D252" s="5" t="inlineStr">
        <is>
          <t>Development Team</t>
        </is>
      </c>
      <c r="E252" s="5" t="inlineStr">
        <is>
          <t>Critical</t>
        </is>
      </c>
      <c r="F252" s="5" t="inlineStr">
        <is>
          <t>English; sample Arabic RTL where relevant</t>
        </is>
      </c>
      <c r="G252" s="5" t="inlineStr">
        <is>
          <t>Keyboard only</t>
        </is>
      </c>
      <c r="H252" s="5" t="inlineStr">
        <is>
          <t>Browser cache cleared; assistive technology/configuration recorded; test data prepared.</t>
        </is>
      </c>
      <c r="I252" s="5" t="inlineStr">
        <is>
          <t>Complete the Employer posts opportunity journey using Keyboard only.</t>
        </is>
      </c>
      <c r="J252" s="5" t="inlineStr">
        <is>
          <t>Start from the same initial state; complete without mouse where applicable; record blockers, assistance, focus/announcement observations and screenshots.</t>
        </is>
      </c>
      <c r="K252" s="5" t="inlineStr">
        <is>
          <t>Complete controlled requirements, tasks and assistance. Logical focus order, visible focus, operable controls and no keyboard trap.</t>
        </is>
      </c>
      <c r="L252" s="5" t="inlineStr"/>
      <c r="M252" s="5" t="inlineStr"/>
      <c r="N252" s="5" t="inlineStr"/>
      <c r="O252" s="5" t="inlineStr"/>
      <c r="P252" s="10" t="inlineStr"/>
      <c r="Q252" s="11" t="inlineStr"/>
      <c r="R252" s="12" t="inlineStr"/>
      <c r="S252" s="5" t="inlineStr"/>
      <c r="T252" s="12" t="inlineStr"/>
      <c r="U252" s="5" t="inlineStr"/>
    </row>
    <row r="253">
      <c r="A253" s="4" t="inlineStr">
        <is>
          <t>ACC-06-ZM</t>
        </is>
      </c>
      <c r="B253" s="5" t="inlineStr">
        <is>
          <t>Accessibility</t>
        </is>
      </c>
      <c r="C253" s="5" t="inlineStr">
        <is>
          <t>Employer posts opportunity</t>
        </is>
      </c>
      <c r="D253" s="5" t="inlineStr">
        <is>
          <t>Development Team</t>
        </is>
      </c>
      <c r="E253" s="5" t="inlineStr">
        <is>
          <t>Critical</t>
        </is>
      </c>
      <c r="F253" s="5" t="inlineStr">
        <is>
          <t>English; sample Arabic RTL where relevant</t>
        </is>
      </c>
      <c r="G253" s="5" t="inlineStr">
        <is>
          <t>200% zoom / responsive reflow</t>
        </is>
      </c>
      <c r="H253" s="5" t="inlineStr">
        <is>
          <t>Browser cache cleared; assistive technology/configuration recorded; test data prepared.</t>
        </is>
      </c>
      <c r="I253" s="5" t="inlineStr">
        <is>
          <t>Complete the Employer posts opportunity journey using 200% zoom / responsive reflow.</t>
        </is>
      </c>
      <c r="J253" s="5" t="inlineStr">
        <is>
          <t>Start from the same initial state; complete without mouse where applicable; record blockers, assistance, focus/announcement observations and screenshots.</t>
        </is>
      </c>
      <c r="K253" s="5" t="inlineStr">
        <is>
          <t>Complete controlled requirements, tasks and assistance. No two-dimensional scrolling for normal content and no hidden essential control.</t>
        </is>
      </c>
      <c r="L253" s="5" t="inlineStr"/>
      <c r="M253" s="5" t="inlineStr"/>
      <c r="N253" s="5" t="inlineStr"/>
      <c r="O253" s="5" t="inlineStr"/>
      <c r="P253" s="10" t="inlineStr"/>
      <c r="Q253" s="11" t="inlineStr"/>
      <c r="R253" s="12" t="inlineStr"/>
      <c r="S253" s="5" t="inlineStr"/>
      <c r="T253" s="12" t="inlineStr"/>
      <c r="U253" s="5" t="inlineStr"/>
    </row>
    <row r="254">
      <c r="A254" s="4" t="inlineStr">
        <is>
          <t>ACC-06-SR</t>
        </is>
      </c>
      <c r="B254" s="5" t="inlineStr">
        <is>
          <t>Accessibility</t>
        </is>
      </c>
      <c r="C254" s="5" t="inlineStr">
        <is>
          <t>Employer posts opportunity</t>
        </is>
      </c>
      <c r="D254" s="5" t="inlineStr">
        <is>
          <t>Development Team</t>
        </is>
      </c>
      <c r="E254" s="5" t="inlineStr">
        <is>
          <t>Critical</t>
        </is>
      </c>
      <c r="F254" s="5" t="inlineStr">
        <is>
          <t>English; sample Arabic RTL where relevant</t>
        </is>
      </c>
      <c r="G254" s="5" t="inlineStr">
        <is>
          <t>JAWS or NVDA</t>
        </is>
      </c>
      <c r="H254" s="5" t="inlineStr">
        <is>
          <t>Browser cache cleared; assistive technology/configuration recorded; test data prepared.</t>
        </is>
      </c>
      <c r="I254" s="5" t="inlineStr">
        <is>
          <t>Complete the Employer posts opportunity journey using JAWS or NVDA.</t>
        </is>
      </c>
      <c r="J254" s="5" t="inlineStr">
        <is>
          <t>Start from the same initial state; complete without mouse where applicable; record blockers, assistance, focus/announcement observations and screenshots.</t>
        </is>
      </c>
      <c r="K254" s="5" t="inlineStr">
        <is>
          <t>Complete controlled requirements, tasks and assistance. Labels, headings, errors, status changes and dialogs are announced meaningfully.</t>
        </is>
      </c>
      <c r="L254" s="5" t="inlineStr"/>
      <c r="M254" s="5" t="inlineStr"/>
      <c r="N254" s="5" t="inlineStr"/>
      <c r="O254" s="5" t="inlineStr"/>
      <c r="P254" s="10" t="inlineStr"/>
      <c r="Q254" s="11" t="inlineStr"/>
      <c r="R254" s="12" t="inlineStr"/>
      <c r="S254" s="5" t="inlineStr"/>
      <c r="T254" s="12" t="inlineStr"/>
      <c r="U254" s="5" t="inlineStr"/>
    </row>
    <row r="255">
      <c r="A255" s="4" t="inlineStr">
        <is>
          <t>I18N-01-EN</t>
        </is>
      </c>
      <c r="B255" s="5" t="inlineStr">
        <is>
          <t>Multilingual and RTL</t>
        </is>
      </c>
      <c r="C255" s="5" t="inlineStr">
        <is>
          <t>Sign in</t>
        </is>
      </c>
      <c r="D255" s="5" t="inlineStr">
        <is>
          <t>Development Team</t>
        </is>
      </c>
      <c r="E255" s="5" t="inlineStr">
        <is>
          <t>High</t>
        </is>
      </c>
      <c r="F255" s="5" t="inlineStr">
        <is>
          <t>English</t>
        </is>
      </c>
      <c r="G255" s="5" t="inlineStr">
        <is>
          <t>Desktop responsive baseline</t>
        </is>
      </c>
      <c r="H255" s="5" t="inlineStr">
        <is>
          <t>Translation files pass contract tests; representative controlled data exists.</t>
        </is>
      </c>
      <c r="I255" s="5" t="inlineStr">
        <is>
          <t>Open and complete the principal interaction on Sign in in English.</t>
        </is>
      </c>
      <c r="J255" s="5" t="inlineStr">
        <is>
          <t>Switch language; inspect headings, controls, validation, dynamic data and direction; navigate away/back; verify entered state and language persistence; capture missing keys or overflow.</t>
        </is>
      </c>
      <c r="K255" s="5" t="inlineStr">
        <is>
          <t>No untranslated key or blocking overflow; meaning remains consistent; Arabic uses correct RTL direction while numbers and technical values remain readable.</t>
        </is>
      </c>
      <c r="L255" s="5" t="inlineStr">
        <is>
          <t>Rendered with lang=en, dir=ltr, a visible localized heading, no unresolved translation key, no page error and no blocking horizontal overflow.</t>
        </is>
      </c>
      <c r="M255" s="5" t="inlineStr">
        <is>
          <t>EV-I18N-002</t>
        </is>
      </c>
      <c r="N255" s="5" t="inlineStr">
        <is>
          <t>Pass</t>
        </is>
      </c>
      <c r="O255" s="5" t="inlineStr"/>
      <c r="P255" s="10" t="n">
        <v>2.6</v>
      </c>
      <c r="Q255" s="11" t="inlineStr"/>
      <c r="R255" s="12" t="n">
        <v>46275</v>
      </c>
      <c r="S255" s="5" t="inlineStr"/>
      <c r="T255" s="12" t="inlineStr"/>
      <c r="U255" s="5" t="inlineStr">
        <is>
          <t>Evaluated deployed multilingual/RTL output case.</t>
        </is>
      </c>
    </row>
    <row r="256">
      <c r="A256" s="4" t="inlineStr">
        <is>
          <t>I18N-01-FR</t>
        </is>
      </c>
      <c r="B256" s="5" t="inlineStr">
        <is>
          <t>Multilingual and RTL</t>
        </is>
      </c>
      <c r="C256" s="5" t="inlineStr">
        <is>
          <t>Sign in</t>
        </is>
      </c>
      <c r="D256" s="5" t="inlineStr">
        <is>
          <t>Development Team</t>
        </is>
      </c>
      <c r="E256" s="5" t="inlineStr">
        <is>
          <t>High</t>
        </is>
      </c>
      <c r="F256" s="5" t="inlineStr">
        <is>
          <t>French</t>
        </is>
      </c>
      <c r="G256" s="5" t="inlineStr">
        <is>
          <t>Desktop responsive baseline</t>
        </is>
      </c>
      <c r="H256" s="5" t="inlineStr">
        <is>
          <t>Translation files pass contract tests; representative controlled data exists.</t>
        </is>
      </c>
      <c r="I256" s="5" t="inlineStr">
        <is>
          <t>Open and complete the principal interaction on Sign in in French.</t>
        </is>
      </c>
      <c r="J256" s="5" t="inlineStr">
        <is>
          <t>Switch language; inspect headings, controls, validation, dynamic data and direction; navigate away/back; verify entered state and language persistence; capture missing keys or overflow.</t>
        </is>
      </c>
      <c r="K256" s="5" t="inlineStr">
        <is>
          <t>No untranslated key or blocking overflow; meaning remains consistent; Arabic uses correct RTL direction while numbers and technical values remain readable.</t>
        </is>
      </c>
      <c r="L256" s="5" t="inlineStr">
        <is>
          <t>Rendered with lang=fr, dir=ltr, a visible localized heading, no unresolved translation key, no page error and no blocking horizontal overflow.</t>
        </is>
      </c>
      <c r="M256" s="5" t="inlineStr">
        <is>
          <t>EV-I18N-002</t>
        </is>
      </c>
      <c r="N256" s="5" t="inlineStr">
        <is>
          <t>Pass</t>
        </is>
      </c>
      <c r="O256" s="5" t="inlineStr"/>
      <c r="P256" s="10" t="n">
        <v>1.9</v>
      </c>
      <c r="Q256" s="11" t="inlineStr"/>
      <c r="R256" s="12" t="n">
        <v>46275</v>
      </c>
      <c r="S256" s="5" t="inlineStr"/>
      <c r="T256" s="12" t="inlineStr"/>
      <c r="U256" s="5" t="inlineStr">
        <is>
          <t>Evaluated deployed multilingual/RTL output case.</t>
        </is>
      </c>
    </row>
    <row r="257">
      <c r="A257" s="4" t="inlineStr">
        <is>
          <t>I18N-01-AR</t>
        </is>
      </c>
      <c r="B257" s="5" t="inlineStr">
        <is>
          <t>Multilingual and RTL</t>
        </is>
      </c>
      <c r="C257" s="5" t="inlineStr">
        <is>
          <t>Sign in</t>
        </is>
      </c>
      <c r="D257" s="5" t="inlineStr">
        <is>
          <t>Development Team</t>
        </is>
      </c>
      <c r="E257" s="5" t="inlineStr">
        <is>
          <t>High</t>
        </is>
      </c>
      <c r="F257" s="5" t="inlineStr">
        <is>
          <t>Arabic</t>
        </is>
      </c>
      <c r="G257" s="5" t="inlineStr">
        <is>
          <t>Desktop responsive baseline</t>
        </is>
      </c>
      <c r="H257" s="5" t="inlineStr">
        <is>
          <t>Translation files pass contract tests; representative controlled data exists.</t>
        </is>
      </c>
      <c r="I257" s="5" t="inlineStr">
        <is>
          <t>Open and complete the principal interaction on Sign in in Arabic.</t>
        </is>
      </c>
      <c r="J257" s="5" t="inlineStr">
        <is>
          <t>Switch language; inspect headings, controls, validation, dynamic data and direction; navigate away/back; verify entered state and language persistence; capture missing keys or overflow.</t>
        </is>
      </c>
      <c r="K257" s="5" t="inlineStr">
        <is>
          <t>No untranslated key or blocking overflow; meaning remains consistent; Arabic uses correct RTL direction while numbers and technical values remain readable.</t>
        </is>
      </c>
      <c r="L257" s="5" t="inlineStr">
        <is>
          <t>Rendered with lang=ar, dir=rtl, a visible localized heading, no unresolved translation key, no page error and no blocking horizontal overflow.</t>
        </is>
      </c>
      <c r="M257" s="5" t="inlineStr">
        <is>
          <t>EV-I18N-002</t>
        </is>
      </c>
      <c r="N257" s="5" t="inlineStr">
        <is>
          <t>Pass</t>
        </is>
      </c>
      <c r="O257" s="5" t="inlineStr"/>
      <c r="P257" s="10" t="n">
        <v>1.8</v>
      </c>
      <c r="Q257" s="11" t="inlineStr"/>
      <c r="R257" s="12" t="n">
        <v>46275</v>
      </c>
      <c r="S257" s="5" t="inlineStr"/>
      <c r="T257" s="12" t="inlineStr"/>
      <c r="U257" s="5" t="inlineStr">
        <is>
          <t>Evaluated deployed multilingual/RTL output case.</t>
        </is>
      </c>
    </row>
    <row r="258">
      <c r="A258" s="4" t="inlineStr">
        <is>
          <t>I18N-02-EN</t>
        </is>
      </c>
      <c r="B258" s="5" t="inlineStr">
        <is>
          <t>Multilingual and RTL</t>
        </is>
      </c>
      <c r="C258" s="5" t="inlineStr">
        <is>
          <t>Candidate profile</t>
        </is>
      </c>
      <c r="D258" s="5" t="inlineStr">
        <is>
          <t>Development Team</t>
        </is>
      </c>
      <c r="E258" s="5" t="inlineStr">
        <is>
          <t>High</t>
        </is>
      </c>
      <c r="F258" s="5" t="inlineStr">
        <is>
          <t>English</t>
        </is>
      </c>
      <c r="G258" s="5" t="inlineStr">
        <is>
          <t>Desktop responsive baseline</t>
        </is>
      </c>
      <c r="H258" s="5" t="inlineStr">
        <is>
          <t>Translation files pass contract tests; representative controlled data exists.</t>
        </is>
      </c>
      <c r="I258" s="5" t="inlineStr">
        <is>
          <t>Open and complete the principal interaction on Candidate profile in English.</t>
        </is>
      </c>
      <c r="J258" s="5" t="inlineStr">
        <is>
          <t>Switch language; inspect headings, controls, validation, dynamic data and direction; navigate away/back; verify entered state and language persistence; capture missing keys or overflow.</t>
        </is>
      </c>
      <c r="K258" s="5" t="inlineStr">
        <is>
          <t>No untranslated key or blocking overflow; meaning remains consistent; Arabic uses correct RTL direction while numbers and technical values remain readable.</t>
        </is>
      </c>
      <c r="L258" s="5" t="inlineStr">
        <is>
          <t>Rendered with lang=en, dir=ltr, a visible localized heading, no unresolved translation key, no page error and no blocking horizontal overflow.</t>
        </is>
      </c>
      <c r="M258" s="5" t="inlineStr">
        <is>
          <t>EV-I18N-002</t>
        </is>
      </c>
      <c r="N258" s="5" t="inlineStr">
        <is>
          <t>Pass</t>
        </is>
      </c>
      <c r="O258" s="5" t="inlineStr"/>
      <c r="P258" s="10" t="n">
        <v>1.8</v>
      </c>
      <c r="Q258" s="11" t="inlineStr"/>
      <c r="R258" s="12" t="n">
        <v>46275</v>
      </c>
      <c r="S258" s="5" t="inlineStr"/>
      <c r="T258" s="12" t="inlineStr"/>
      <c r="U258" s="5" t="inlineStr">
        <is>
          <t>Evaluated deployed multilingual/RTL output case.</t>
        </is>
      </c>
    </row>
    <row r="259">
      <c r="A259" s="4" t="inlineStr">
        <is>
          <t>I18N-02-FR</t>
        </is>
      </c>
      <c r="B259" s="5" t="inlineStr">
        <is>
          <t>Multilingual and RTL</t>
        </is>
      </c>
      <c r="C259" s="5" t="inlineStr">
        <is>
          <t>Candidate profile</t>
        </is>
      </c>
      <c r="D259" s="5" t="inlineStr">
        <is>
          <t>Development Team</t>
        </is>
      </c>
      <c r="E259" s="5" t="inlineStr">
        <is>
          <t>High</t>
        </is>
      </c>
      <c r="F259" s="5" t="inlineStr">
        <is>
          <t>French</t>
        </is>
      </c>
      <c r="G259" s="5" t="inlineStr">
        <is>
          <t>Desktop responsive baseline</t>
        </is>
      </c>
      <c r="H259" s="5" t="inlineStr">
        <is>
          <t>Translation files pass contract tests; representative controlled data exists.</t>
        </is>
      </c>
      <c r="I259" s="5" t="inlineStr">
        <is>
          <t>Open and complete the principal interaction on Candidate profile in French.</t>
        </is>
      </c>
      <c r="J259" s="5" t="inlineStr">
        <is>
          <t>Switch language; inspect headings, controls, validation, dynamic data and direction; navigate away/back; verify entered state and language persistence; capture missing keys or overflow.</t>
        </is>
      </c>
      <c r="K259" s="5" t="inlineStr">
        <is>
          <t>No untranslated key or blocking overflow; meaning remains consistent; Arabic uses correct RTL direction while numbers and technical values remain readable.</t>
        </is>
      </c>
      <c r="L259" s="5" t="inlineStr">
        <is>
          <t>Rendered with lang=fr, dir=ltr, a visible localized heading, no unresolved translation key, no page error and no blocking horizontal overflow.</t>
        </is>
      </c>
      <c r="M259" s="5" t="inlineStr">
        <is>
          <t>EV-I18N-002</t>
        </is>
      </c>
      <c r="N259" s="5" t="inlineStr">
        <is>
          <t>Pass</t>
        </is>
      </c>
      <c r="O259" s="5" t="inlineStr"/>
      <c r="P259" s="10" t="n">
        <v>1.4</v>
      </c>
      <c r="Q259" s="11" t="inlineStr"/>
      <c r="R259" s="12" t="n">
        <v>46275</v>
      </c>
      <c r="S259" s="5" t="inlineStr"/>
      <c r="T259" s="12" t="inlineStr"/>
      <c r="U259" s="5" t="inlineStr">
        <is>
          <t>Evaluated deployed multilingual/RTL output case.</t>
        </is>
      </c>
    </row>
    <row r="260">
      <c r="A260" s="4" t="inlineStr">
        <is>
          <t>I18N-02-AR</t>
        </is>
      </c>
      <c r="B260" s="5" t="inlineStr">
        <is>
          <t>Multilingual and RTL</t>
        </is>
      </c>
      <c r="C260" s="5" t="inlineStr">
        <is>
          <t>Candidate profile</t>
        </is>
      </c>
      <c r="D260" s="5" t="inlineStr">
        <is>
          <t>Development Team</t>
        </is>
      </c>
      <c r="E260" s="5" t="inlineStr">
        <is>
          <t>High</t>
        </is>
      </c>
      <c r="F260" s="5" t="inlineStr">
        <is>
          <t>Arabic</t>
        </is>
      </c>
      <c r="G260" s="5" t="inlineStr">
        <is>
          <t>Desktop responsive baseline</t>
        </is>
      </c>
      <c r="H260" s="5" t="inlineStr">
        <is>
          <t>Translation files pass contract tests; representative controlled data exists.</t>
        </is>
      </c>
      <c r="I260" s="5" t="inlineStr">
        <is>
          <t>Open and complete the principal interaction on Candidate profile in Arabic.</t>
        </is>
      </c>
      <c r="J260" s="5" t="inlineStr">
        <is>
          <t>Switch language; inspect headings, controls, validation, dynamic data and direction; navigate away/back; verify entered state and language persistence; capture missing keys or overflow.</t>
        </is>
      </c>
      <c r="K260" s="5" t="inlineStr">
        <is>
          <t>No untranslated key or blocking overflow; meaning remains consistent; Arabic uses correct RTL direction while numbers and technical values remain readable.</t>
        </is>
      </c>
      <c r="L260" s="5" t="inlineStr">
        <is>
          <t>Rendered with lang=ar, dir=rtl, a visible localized heading, no unresolved translation key, no page error and no blocking horizontal overflow.</t>
        </is>
      </c>
      <c r="M260" s="5" t="inlineStr">
        <is>
          <t>EV-I18N-002</t>
        </is>
      </c>
      <c r="N260" s="5" t="inlineStr">
        <is>
          <t>Pass</t>
        </is>
      </c>
      <c r="O260" s="5" t="inlineStr"/>
      <c r="P260" s="10" t="n">
        <v>1.5</v>
      </c>
      <c r="Q260" s="11" t="inlineStr"/>
      <c r="R260" s="12" t="n">
        <v>46275</v>
      </c>
      <c r="S260" s="5" t="inlineStr"/>
      <c r="T260" s="12" t="inlineStr"/>
      <c r="U260" s="5" t="inlineStr">
        <is>
          <t>Evaluated deployed multilingual/RTL output case.</t>
        </is>
      </c>
    </row>
    <row r="261">
      <c r="A261" s="4" t="inlineStr">
        <is>
          <t>I18N-03-EN</t>
        </is>
      </c>
      <c r="B261" s="5" t="inlineStr">
        <is>
          <t>Multilingual and RTL</t>
        </is>
      </c>
      <c r="C261" s="5" t="inlineStr">
        <is>
          <t>AI profile builder</t>
        </is>
      </c>
      <c r="D261" s="5" t="inlineStr">
        <is>
          <t>Development Team</t>
        </is>
      </c>
      <c r="E261" s="5" t="inlineStr">
        <is>
          <t>High</t>
        </is>
      </c>
      <c r="F261" s="5" t="inlineStr">
        <is>
          <t>English</t>
        </is>
      </c>
      <c r="G261" s="5" t="inlineStr">
        <is>
          <t>Desktop responsive baseline</t>
        </is>
      </c>
      <c r="H261" s="5" t="inlineStr">
        <is>
          <t>Translation files pass contract tests; representative controlled data exists.</t>
        </is>
      </c>
      <c r="I261" s="5" t="inlineStr">
        <is>
          <t>Open and complete the principal interaction on AI profile builder in English.</t>
        </is>
      </c>
      <c r="J261" s="5" t="inlineStr">
        <is>
          <t>Switch language; inspect headings, controls, validation, dynamic data and direction; navigate away/back; verify entered state and language persistence; capture missing keys or overflow.</t>
        </is>
      </c>
      <c r="K261" s="5" t="inlineStr">
        <is>
          <t>No untranslated key or blocking overflow; meaning remains consistent; Arabic uses correct RTL direction while numbers and technical values remain readable.</t>
        </is>
      </c>
      <c r="L261" s="5" t="inlineStr">
        <is>
          <t>Rendered with lang=en, dir=ltr, a visible localized heading, no unresolved translation key, no page error and no blocking horizontal overflow.</t>
        </is>
      </c>
      <c r="M261" s="5" t="inlineStr">
        <is>
          <t>EV-I18N-002</t>
        </is>
      </c>
      <c r="N261" s="5" t="inlineStr">
        <is>
          <t>Pass</t>
        </is>
      </c>
      <c r="O261" s="5" t="inlineStr"/>
      <c r="P261" s="10" t="n">
        <v>1.3</v>
      </c>
      <c r="Q261" s="11" t="inlineStr"/>
      <c r="R261" s="12" t="n">
        <v>46275</v>
      </c>
      <c r="S261" s="5" t="inlineStr"/>
      <c r="T261" s="12" t="inlineStr"/>
      <c r="U261" s="5" t="inlineStr">
        <is>
          <t>Evaluated deployed multilingual/RTL output case.</t>
        </is>
      </c>
    </row>
    <row r="262">
      <c r="A262" s="4" t="inlineStr">
        <is>
          <t>I18N-03-FR</t>
        </is>
      </c>
      <c r="B262" s="5" t="inlineStr">
        <is>
          <t>Multilingual and RTL</t>
        </is>
      </c>
      <c r="C262" s="5" t="inlineStr">
        <is>
          <t>AI profile builder</t>
        </is>
      </c>
      <c r="D262" s="5" t="inlineStr">
        <is>
          <t>Development Team</t>
        </is>
      </c>
      <c r="E262" s="5" t="inlineStr">
        <is>
          <t>High</t>
        </is>
      </c>
      <c r="F262" s="5" t="inlineStr">
        <is>
          <t>French</t>
        </is>
      </c>
      <c r="G262" s="5" t="inlineStr">
        <is>
          <t>Desktop responsive baseline</t>
        </is>
      </c>
      <c r="H262" s="5" t="inlineStr">
        <is>
          <t>Translation files pass contract tests; representative controlled data exists.</t>
        </is>
      </c>
      <c r="I262" s="5" t="inlineStr">
        <is>
          <t>Open and complete the principal interaction on AI profile builder in French.</t>
        </is>
      </c>
      <c r="J262" s="5" t="inlineStr">
        <is>
          <t>Switch language; inspect headings, controls, validation, dynamic data and direction; navigate away/back; verify entered state and language persistence; capture missing keys or overflow.</t>
        </is>
      </c>
      <c r="K262" s="5" t="inlineStr">
        <is>
          <t>No untranslated key or blocking overflow; meaning remains consistent; Arabic uses correct RTL direction while numbers and technical values remain readable.</t>
        </is>
      </c>
      <c r="L262" s="5" t="inlineStr">
        <is>
          <t>Rendered with lang=fr, dir=ltr, a visible localized heading, no unresolved translation key, no page error and no blocking horizontal overflow.</t>
        </is>
      </c>
      <c r="M262" s="5" t="inlineStr">
        <is>
          <t>EV-I18N-002</t>
        </is>
      </c>
      <c r="N262" s="5" t="inlineStr">
        <is>
          <t>Pass</t>
        </is>
      </c>
      <c r="O262" s="5" t="inlineStr"/>
      <c r="P262" s="10" t="n">
        <v>2.5</v>
      </c>
      <c r="Q262" s="11" t="inlineStr"/>
      <c r="R262" s="12" t="n">
        <v>46275</v>
      </c>
      <c r="S262" s="5" t="inlineStr"/>
      <c r="T262" s="12" t="inlineStr"/>
      <c r="U262" s="5" t="inlineStr">
        <is>
          <t>Evaluated deployed multilingual/RTL output case.</t>
        </is>
      </c>
    </row>
    <row r="263">
      <c r="A263" s="4" t="inlineStr">
        <is>
          <t>I18N-03-AR</t>
        </is>
      </c>
      <c r="B263" s="5" t="inlineStr">
        <is>
          <t>Multilingual and RTL</t>
        </is>
      </c>
      <c r="C263" s="5" t="inlineStr">
        <is>
          <t>AI profile builder</t>
        </is>
      </c>
      <c r="D263" s="5" t="inlineStr">
        <is>
          <t>Development Team</t>
        </is>
      </c>
      <c r="E263" s="5" t="inlineStr">
        <is>
          <t>High</t>
        </is>
      </c>
      <c r="F263" s="5" t="inlineStr">
        <is>
          <t>Arabic</t>
        </is>
      </c>
      <c r="G263" s="5" t="inlineStr">
        <is>
          <t>Desktop responsive baseline</t>
        </is>
      </c>
      <c r="H263" s="5" t="inlineStr">
        <is>
          <t>Translation files pass contract tests; representative controlled data exists.</t>
        </is>
      </c>
      <c r="I263" s="5" t="inlineStr">
        <is>
          <t>Open and complete the principal interaction on AI profile builder in Arabic.</t>
        </is>
      </c>
      <c r="J263" s="5" t="inlineStr">
        <is>
          <t>Switch language; inspect headings, controls, validation, dynamic data and direction; navigate away/back; verify entered state and language persistence; capture missing keys or overflow.</t>
        </is>
      </c>
      <c r="K263" s="5" t="inlineStr">
        <is>
          <t>No untranslated key or blocking overflow; meaning remains consistent; Arabic uses correct RTL direction while numbers and technical values remain readable.</t>
        </is>
      </c>
      <c r="L263" s="5" t="inlineStr">
        <is>
          <t>Rendered with lang=ar, dir=rtl, a visible localized heading, no unresolved translation key, no page error and no blocking horizontal overflow.</t>
        </is>
      </c>
      <c r="M263" s="5" t="inlineStr">
        <is>
          <t>EV-I18N-002</t>
        </is>
      </c>
      <c r="N263" s="5" t="inlineStr">
        <is>
          <t>Pass</t>
        </is>
      </c>
      <c r="O263" s="5" t="inlineStr"/>
      <c r="P263" s="10" t="n">
        <v>1.4</v>
      </c>
      <c r="Q263" s="11" t="inlineStr"/>
      <c r="R263" s="12" t="n">
        <v>46275</v>
      </c>
      <c r="S263" s="5" t="inlineStr"/>
      <c r="T263" s="12" t="inlineStr"/>
      <c r="U263" s="5" t="inlineStr">
        <is>
          <t>Evaluated deployed multilingual/RTL output case.</t>
        </is>
      </c>
    </row>
    <row r="264">
      <c r="A264" s="4" t="inlineStr">
        <is>
          <t>I18N-04-EN</t>
        </is>
      </c>
      <c r="B264" s="5" t="inlineStr">
        <is>
          <t>Multilingual and RTL</t>
        </is>
      </c>
      <c r="C264" s="5" t="inlineStr">
        <is>
          <t>Job matching</t>
        </is>
      </c>
      <c r="D264" s="5" t="inlineStr">
        <is>
          <t>Development Team</t>
        </is>
      </c>
      <c r="E264" s="5" t="inlineStr">
        <is>
          <t>High</t>
        </is>
      </c>
      <c r="F264" s="5" t="inlineStr">
        <is>
          <t>English</t>
        </is>
      </c>
      <c r="G264" s="5" t="inlineStr">
        <is>
          <t>Desktop responsive baseline</t>
        </is>
      </c>
      <c r="H264" s="5" t="inlineStr">
        <is>
          <t>Translation files pass contract tests; representative controlled data exists.</t>
        </is>
      </c>
      <c r="I264" s="5" t="inlineStr">
        <is>
          <t>Open and complete the principal interaction on Job matching in English.</t>
        </is>
      </c>
      <c r="J264" s="5" t="inlineStr">
        <is>
          <t>Switch language; inspect headings, controls, validation, dynamic data and direction; navigate away/back; verify entered state and language persistence; capture missing keys or overflow.</t>
        </is>
      </c>
      <c r="K264" s="5" t="inlineStr">
        <is>
          <t>No untranslated key or blocking overflow; meaning remains consistent; Arabic uses correct RTL direction while numbers and technical values remain readable.</t>
        </is>
      </c>
      <c r="L264" s="5" t="inlineStr">
        <is>
          <t>Rendered with lang=en, dir=ltr, a visible localized heading, no unresolved translation key, no page error and no blocking horizontal overflow.</t>
        </is>
      </c>
      <c r="M264" s="5" t="inlineStr">
        <is>
          <t>EV-I18N-002</t>
        </is>
      </c>
      <c r="N264" s="5" t="inlineStr">
        <is>
          <t>Pass</t>
        </is>
      </c>
      <c r="O264" s="5" t="inlineStr"/>
      <c r="P264" s="10" t="n">
        <v>1.4</v>
      </c>
      <c r="Q264" s="11" t="inlineStr"/>
      <c r="R264" s="12" t="n">
        <v>46275</v>
      </c>
      <c r="S264" s="5" t="inlineStr"/>
      <c r="T264" s="12" t="inlineStr"/>
      <c r="U264" s="5" t="inlineStr">
        <is>
          <t>Evaluated deployed multilingual/RTL output case.</t>
        </is>
      </c>
    </row>
    <row r="265">
      <c r="A265" s="4" t="inlineStr">
        <is>
          <t>I18N-04-FR</t>
        </is>
      </c>
      <c r="B265" s="5" t="inlineStr">
        <is>
          <t>Multilingual and RTL</t>
        </is>
      </c>
      <c r="C265" s="5" t="inlineStr">
        <is>
          <t>Job matching</t>
        </is>
      </c>
      <c r="D265" s="5" t="inlineStr">
        <is>
          <t>Development Team</t>
        </is>
      </c>
      <c r="E265" s="5" t="inlineStr">
        <is>
          <t>High</t>
        </is>
      </c>
      <c r="F265" s="5" t="inlineStr">
        <is>
          <t>French</t>
        </is>
      </c>
      <c r="G265" s="5" t="inlineStr">
        <is>
          <t>Desktop responsive baseline</t>
        </is>
      </c>
      <c r="H265" s="5" t="inlineStr">
        <is>
          <t>Translation files pass contract tests; representative controlled data exists.</t>
        </is>
      </c>
      <c r="I265" s="5" t="inlineStr">
        <is>
          <t>Open and complete the principal interaction on Job matching in French.</t>
        </is>
      </c>
      <c r="J265" s="5" t="inlineStr">
        <is>
          <t>Switch language; inspect headings, controls, validation, dynamic data and direction; navigate away/back; verify entered state and language persistence; capture missing keys or overflow.</t>
        </is>
      </c>
      <c r="K265" s="5" t="inlineStr">
        <is>
          <t>No untranslated key or blocking overflow; meaning remains consistent; Arabic uses correct RTL direction while numbers and technical values remain readable.</t>
        </is>
      </c>
      <c r="L265" s="5" t="inlineStr">
        <is>
          <t>Rendered with lang=fr, dir=ltr, a visible localized heading, no unresolved translation key, no page error and no blocking horizontal overflow.</t>
        </is>
      </c>
      <c r="M265" s="5" t="inlineStr">
        <is>
          <t>EV-I18N-002</t>
        </is>
      </c>
      <c r="N265" s="5" t="inlineStr">
        <is>
          <t>Pass</t>
        </is>
      </c>
      <c r="O265" s="5" t="inlineStr"/>
      <c r="P265" s="10" t="n">
        <v>1.7</v>
      </c>
      <c r="Q265" s="11" t="inlineStr"/>
      <c r="R265" s="12" t="n">
        <v>46275</v>
      </c>
      <c r="S265" s="5" t="inlineStr"/>
      <c r="T265" s="12" t="inlineStr"/>
      <c r="U265" s="5" t="inlineStr">
        <is>
          <t>Evaluated deployed multilingual/RTL output case.</t>
        </is>
      </c>
    </row>
    <row r="266">
      <c r="A266" s="4" t="inlineStr">
        <is>
          <t>I18N-04-AR</t>
        </is>
      </c>
      <c r="B266" s="5" t="inlineStr">
        <is>
          <t>Multilingual and RTL</t>
        </is>
      </c>
      <c r="C266" s="5" t="inlineStr">
        <is>
          <t>Job matching</t>
        </is>
      </c>
      <c r="D266" s="5" t="inlineStr">
        <is>
          <t>Development Team</t>
        </is>
      </c>
      <c r="E266" s="5" t="inlineStr">
        <is>
          <t>High</t>
        </is>
      </c>
      <c r="F266" s="5" t="inlineStr">
        <is>
          <t>Arabic</t>
        </is>
      </c>
      <c r="G266" s="5" t="inlineStr">
        <is>
          <t>Desktop responsive baseline</t>
        </is>
      </c>
      <c r="H266" s="5" t="inlineStr">
        <is>
          <t>Translation files pass contract tests; representative controlled data exists.</t>
        </is>
      </c>
      <c r="I266" s="5" t="inlineStr">
        <is>
          <t>Open and complete the principal interaction on Job matching in Arabic.</t>
        </is>
      </c>
      <c r="J266" s="5" t="inlineStr">
        <is>
          <t>Switch language; inspect headings, controls, validation, dynamic data and direction; navigate away/back; verify entered state and language persistence; capture missing keys or overflow.</t>
        </is>
      </c>
      <c r="K266" s="5" t="inlineStr">
        <is>
          <t>No untranslated key or blocking overflow; meaning remains consistent; Arabic uses correct RTL direction while numbers and technical values remain readable.</t>
        </is>
      </c>
      <c r="L266" s="5" t="inlineStr">
        <is>
          <t>Rendered with lang=ar, dir=rtl, a visible localized heading, no unresolved translation key, no page error and no blocking horizontal overflow.</t>
        </is>
      </c>
      <c r="M266" s="5" t="inlineStr">
        <is>
          <t>EV-I18N-002</t>
        </is>
      </c>
      <c r="N266" s="5" t="inlineStr">
        <is>
          <t>Pass</t>
        </is>
      </c>
      <c r="O266" s="5" t="inlineStr"/>
      <c r="P266" s="10" t="n">
        <v>1.4</v>
      </c>
      <c r="Q266" s="11" t="inlineStr"/>
      <c r="R266" s="12" t="n">
        <v>46275</v>
      </c>
      <c r="S266" s="5" t="inlineStr"/>
      <c r="T266" s="12" t="inlineStr"/>
      <c r="U266" s="5" t="inlineStr">
        <is>
          <t>Evaluated deployed multilingual/RTL output case.</t>
        </is>
      </c>
    </row>
    <row r="267">
      <c r="A267" s="4" t="inlineStr">
        <is>
          <t>I18N-05-EN</t>
        </is>
      </c>
      <c r="B267" s="5" t="inlineStr">
        <is>
          <t>Multilingual and RTL</t>
        </is>
      </c>
      <c r="C267" s="5" t="inlineStr">
        <is>
          <t>Employer opportunity creation</t>
        </is>
      </c>
      <c r="D267" s="5" t="inlineStr">
        <is>
          <t>Development Team</t>
        </is>
      </c>
      <c r="E267" s="5" t="inlineStr">
        <is>
          <t>High</t>
        </is>
      </c>
      <c r="F267" s="5" t="inlineStr">
        <is>
          <t>English</t>
        </is>
      </c>
      <c r="G267" s="5" t="inlineStr">
        <is>
          <t>Desktop responsive baseline</t>
        </is>
      </c>
      <c r="H267" s="5" t="inlineStr">
        <is>
          <t>Translation files pass contract tests; representative controlled data exists.</t>
        </is>
      </c>
      <c r="I267" s="5" t="inlineStr">
        <is>
          <t>Open and complete the principal interaction on Employer opportunity creation in English.</t>
        </is>
      </c>
      <c r="J267" s="5" t="inlineStr">
        <is>
          <t>Switch language; inspect headings, controls, validation, dynamic data and direction; navigate away/back; verify entered state and language persistence; capture missing keys or overflow.</t>
        </is>
      </c>
      <c r="K267" s="5" t="inlineStr">
        <is>
          <t>No untranslated key or blocking overflow; meaning remains consistent; Arabic uses correct RTL direction while numbers and technical values remain readable.</t>
        </is>
      </c>
      <c r="L267" s="5" t="inlineStr">
        <is>
          <t>Rendered with lang=en, dir=ltr, a visible localized heading, no unresolved translation key, no page error and no blocking horizontal overflow.</t>
        </is>
      </c>
      <c r="M267" s="5" t="inlineStr">
        <is>
          <t>EV-I18N-002</t>
        </is>
      </c>
      <c r="N267" s="5" t="inlineStr">
        <is>
          <t>Pass</t>
        </is>
      </c>
      <c r="O267" s="5" t="inlineStr"/>
      <c r="P267" s="10" t="n">
        <v>1.8</v>
      </c>
      <c r="Q267" s="11" t="inlineStr"/>
      <c r="R267" s="12" t="n">
        <v>46275</v>
      </c>
      <c r="S267" s="5" t="inlineStr"/>
      <c r="T267" s="12" t="inlineStr"/>
      <c r="U267" s="5" t="inlineStr">
        <is>
          <t>Evaluated deployed multilingual/RTL output case.</t>
        </is>
      </c>
    </row>
    <row r="268">
      <c r="A268" s="4" t="inlineStr">
        <is>
          <t>I18N-05-FR</t>
        </is>
      </c>
      <c r="B268" s="5" t="inlineStr">
        <is>
          <t>Multilingual and RTL</t>
        </is>
      </c>
      <c r="C268" s="5" t="inlineStr">
        <is>
          <t>Employer opportunity creation</t>
        </is>
      </c>
      <c r="D268" s="5" t="inlineStr">
        <is>
          <t>Development Team</t>
        </is>
      </c>
      <c r="E268" s="5" t="inlineStr">
        <is>
          <t>High</t>
        </is>
      </c>
      <c r="F268" s="5" t="inlineStr">
        <is>
          <t>French</t>
        </is>
      </c>
      <c r="G268" s="5" t="inlineStr">
        <is>
          <t>Desktop responsive baseline</t>
        </is>
      </c>
      <c r="H268" s="5" t="inlineStr">
        <is>
          <t>Translation files pass contract tests; representative controlled data exists.</t>
        </is>
      </c>
      <c r="I268" s="5" t="inlineStr">
        <is>
          <t>Open and complete the principal interaction on Employer opportunity creation in French.</t>
        </is>
      </c>
      <c r="J268" s="5" t="inlineStr">
        <is>
          <t>Switch language; inspect headings, controls, validation, dynamic data and direction; navigate away/back; verify entered state and language persistence; capture missing keys or overflow.</t>
        </is>
      </c>
      <c r="K268" s="5" t="inlineStr">
        <is>
          <t>No untranslated key or blocking overflow; meaning remains consistent; Arabic uses correct RTL direction while numbers and technical values remain readable.</t>
        </is>
      </c>
      <c r="L268" s="5" t="inlineStr">
        <is>
          <t>Rendered with lang=fr, dir=ltr, a visible localized heading, no unresolved translation key, no page error and no blocking horizontal overflow.</t>
        </is>
      </c>
      <c r="M268" s="5" t="inlineStr">
        <is>
          <t>EV-I18N-002</t>
        </is>
      </c>
      <c r="N268" s="5" t="inlineStr">
        <is>
          <t>Pass</t>
        </is>
      </c>
      <c r="O268" s="5" t="inlineStr"/>
      <c r="P268" s="10" t="n">
        <v>2.4</v>
      </c>
      <c r="Q268" s="11" t="inlineStr"/>
      <c r="R268" s="12" t="n">
        <v>46275</v>
      </c>
      <c r="S268" s="5" t="inlineStr"/>
      <c r="T268" s="12" t="inlineStr"/>
      <c r="U268" s="5" t="inlineStr">
        <is>
          <t>Evaluated deployed multilingual/RTL output case.</t>
        </is>
      </c>
    </row>
    <row r="269">
      <c r="A269" s="4" t="inlineStr">
        <is>
          <t>I18N-05-AR</t>
        </is>
      </c>
      <c r="B269" s="5" t="inlineStr">
        <is>
          <t>Multilingual and RTL</t>
        </is>
      </c>
      <c r="C269" s="5" t="inlineStr">
        <is>
          <t>Employer opportunity creation</t>
        </is>
      </c>
      <c r="D269" s="5" t="inlineStr">
        <is>
          <t>Development Team</t>
        </is>
      </c>
      <c r="E269" s="5" t="inlineStr">
        <is>
          <t>High</t>
        </is>
      </c>
      <c r="F269" s="5" t="inlineStr">
        <is>
          <t>Arabic</t>
        </is>
      </c>
      <c r="G269" s="5" t="inlineStr">
        <is>
          <t>Desktop responsive baseline</t>
        </is>
      </c>
      <c r="H269" s="5" t="inlineStr">
        <is>
          <t>Translation files pass contract tests; representative controlled data exists.</t>
        </is>
      </c>
      <c r="I269" s="5" t="inlineStr">
        <is>
          <t>Open and complete the principal interaction on Employer opportunity creation in Arabic.</t>
        </is>
      </c>
      <c r="J269" s="5" t="inlineStr">
        <is>
          <t>Switch language; inspect headings, controls, validation, dynamic data and direction; navigate away/back; verify entered state and language persistence; capture missing keys or overflow.</t>
        </is>
      </c>
      <c r="K269" s="5" t="inlineStr">
        <is>
          <t>No untranslated key or blocking overflow; meaning remains consistent; Arabic uses correct RTL direction while numbers and technical values remain readable.</t>
        </is>
      </c>
      <c r="L269" s="5" t="inlineStr">
        <is>
          <t>Rendered with lang=ar, dir=rtl, a visible localized heading, no unresolved translation key, no page error and no blocking horizontal overflow.</t>
        </is>
      </c>
      <c r="M269" s="5" t="inlineStr">
        <is>
          <t>EV-I18N-002</t>
        </is>
      </c>
      <c r="N269" s="5" t="inlineStr">
        <is>
          <t>Pass</t>
        </is>
      </c>
      <c r="O269" s="5" t="inlineStr"/>
      <c r="P269" s="10" t="n">
        <v>2.7</v>
      </c>
      <c r="Q269" s="11" t="inlineStr"/>
      <c r="R269" s="12" t="n">
        <v>46275</v>
      </c>
      <c r="S269" s="5" t="inlineStr"/>
      <c r="T269" s="12" t="inlineStr"/>
      <c r="U269" s="5" t="inlineStr">
        <is>
          <t>Evaluated deployed multilingual/RTL output case.</t>
        </is>
      </c>
    </row>
    <row r="270">
      <c r="A270" s="4" t="inlineStr">
        <is>
          <t>I18N-06-EN</t>
        </is>
      </c>
      <c r="B270" s="5" t="inlineStr">
        <is>
          <t>Multilingual and RTL</t>
        </is>
      </c>
      <c r="C270" s="5" t="inlineStr">
        <is>
          <t>Admin / verifier dashboard</t>
        </is>
      </c>
      <c r="D270" s="5" t="inlineStr">
        <is>
          <t>Development Team</t>
        </is>
      </c>
      <c r="E270" s="5" t="inlineStr">
        <is>
          <t>High</t>
        </is>
      </c>
      <c r="F270" s="5" t="inlineStr">
        <is>
          <t>English</t>
        </is>
      </c>
      <c r="G270" s="5" t="inlineStr">
        <is>
          <t>Desktop responsive baseline</t>
        </is>
      </c>
      <c r="H270" s="5" t="inlineStr">
        <is>
          <t>Translation files pass contract tests; representative controlled data exists.</t>
        </is>
      </c>
      <c r="I270" s="5" t="inlineStr">
        <is>
          <t>Open and complete the principal interaction on Admin / verifier dashboard in English.</t>
        </is>
      </c>
      <c r="J270" s="5" t="inlineStr">
        <is>
          <t>Switch language; inspect headings, controls, validation, dynamic data and direction; navigate away/back; verify entered state and language persistence; capture missing keys or overflow.</t>
        </is>
      </c>
      <c r="K270" s="5" t="inlineStr">
        <is>
          <t>No untranslated key or blocking overflow; meaning remains consistent; Arabic uses correct RTL direction while numbers and technical values remain readable.</t>
        </is>
      </c>
      <c r="L270" s="5" t="inlineStr">
        <is>
          <t>Rendered with lang=en, dir=ltr, a visible localized heading, no unresolved translation key, no page error and no blocking horizontal overflow.</t>
        </is>
      </c>
      <c r="M270" s="5" t="inlineStr">
        <is>
          <t>EV-I18N-002</t>
        </is>
      </c>
      <c r="N270" s="5" t="inlineStr">
        <is>
          <t>Pass</t>
        </is>
      </c>
      <c r="O270" s="5" t="inlineStr"/>
      <c r="P270" s="10" t="n">
        <v>2</v>
      </c>
      <c r="Q270" s="11" t="inlineStr"/>
      <c r="R270" s="12" t="n">
        <v>46275</v>
      </c>
      <c r="S270" s="5" t="inlineStr"/>
      <c r="T270" s="12" t="inlineStr"/>
      <c r="U270" s="5" t="inlineStr">
        <is>
          <t>Evaluated deployed multilingual/RTL output case.</t>
        </is>
      </c>
    </row>
    <row r="271">
      <c r="A271" s="4" t="inlineStr">
        <is>
          <t>I18N-06-FR</t>
        </is>
      </c>
      <c r="B271" s="5" t="inlineStr">
        <is>
          <t>Multilingual and RTL</t>
        </is>
      </c>
      <c r="C271" s="5" t="inlineStr">
        <is>
          <t>Admin / verifier dashboard</t>
        </is>
      </c>
      <c r="D271" s="5" t="inlineStr">
        <is>
          <t>Development Team</t>
        </is>
      </c>
      <c r="E271" s="5" t="inlineStr">
        <is>
          <t>High</t>
        </is>
      </c>
      <c r="F271" s="5" t="inlineStr">
        <is>
          <t>French</t>
        </is>
      </c>
      <c r="G271" s="5" t="inlineStr">
        <is>
          <t>Desktop responsive baseline</t>
        </is>
      </c>
      <c r="H271" s="5" t="inlineStr">
        <is>
          <t>Translation files pass contract tests; representative controlled data exists.</t>
        </is>
      </c>
      <c r="I271" s="5" t="inlineStr">
        <is>
          <t>Open and complete the principal interaction on Admin / verifier dashboard in French.</t>
        </is>
      </c>
      <c r="J271" s="5" t="inlineStr">
        <is>
          <t>Switch language; inspect headings, controls, validation, dynamic data and direction; navigate away/back; verify entered state and language persistence; capture missing keys or overflow.</t>
        </is>
      </c>
      <c r="K271" s="5" t="inlineStr">
        <is>
          <t>No untranslated key or blocking overflow; meaning remains consistent; Arabic uses correct RTL direction while numbers and technical values remain readable.</t>
        </is>
      </c>
      <c r="L271" s="5" t="inlineStr">
        <is>
          <t>Rendered with lang=fr, dir=ltr, a visible localized heading, no unresolved translation key, no page error and no blocking horizontal overflow.</t>
        </is>
      </c>
      <c r="M271" s="5" t="inlineStr">
        <is>
          <t>EV-I18N-002</t>
        </is>
      </c>
      <c r="N271" s="5" t="inlineStr">
        <is>
          <t>Pass</t>
        </is>
      </c>
      <c r="O271" s="5" t="inlineStr"/>
      <c r="P271" s="10" t="n">
        <v>1.4</v>
      </c>
      <c r="Q271" s="11" t="inlineStr"/>
      <c r="R271" s="12" t="n">
        <v>46275</v>
      </c>
      <c r="S271" s="5" t="inlineStr"/>
      <c r="T271" s="12" t="inlineStr"/>
      <c r="U271" s="5" t="inlineStr">
        <is>
          <t>Evaluated deployed multilingual/RTL output case.</t>
        </is>
      </c>
    </row>
    <row r="272">
      <c r="A272" s="4" t="inlineStr">
        <is>
          <t>I18N-06-AR</t>
        </is>
      </c>
      <c r="B272" s="5" t="inlineStr">
        <is>
          <t>Multilingual and RTL</t>
        </is>
      </c>
      <c r="C272" s="5" t="inlineStr">
        <is>
          <t>Admin / verifier dashboard</t>
        </is>
      </c>
      <c r="D272" s="5" t="inlineStr">
        <is>
          <t>Development Team</t>
        </is>
      </c>
      <c r="E272" s="5" t="inlineStr">
        <is>
          <t>High</t>
        </is>
      </c>
      <c r="F272" s="5" t="inlineStr">
        <is>
          <t>Arabic</t>
        </is>
      </c>
      <c r="G272" s="5" t="inlineStr">
        <is>
          <t>Desktop responsive baseline</t>
        </is>
      </c>
      <c r="H272" s="5" t="inlineStr">
        <is>
          <t>Translation files pass contract tests; representative controlled data exists.</t>
        </is>
      </c>
      <c r="I272" s="5" t="inlineStr">
        <is>
          <t>Open and complete the principal interaction on Admin / verifier dashboard in Arabic.</t>
        </is>
      </c>
      <c r="J272" s="5" t="inlineStr">
        <is>
          <t>Switch language; inspect headings, controls, validation, dynamic data and direction; navigate away/back; verify entered state and language persistence; capture missing keys or overflow.</t>
        </is>
      </c>
      <c r="K272" s="5" t="inlineStr">
        <is>
          <t>No untranslated key or blocking overflow; meaning remains consistent; Arabic uses correct RTL direction while numbers and technical values remain readable.</t>
        </is>
      </c>
      <c r="L272" s="5" t="inlineStr">
        <is>
          <t>Rendered with lang=ar, dir=rtl, a visible localized heading, no unresolved translation key, no page error and no blocking horizontal overflow.</t>
        </is>
      </c>
      <c r="M272" s="5" t="inlineStr">
        <is>
          <t>EV-I18N-002</t>
        </is>
      </c>
      <c r="N272" s="5" t="inlineStr">
        <is>
          <t>Pass</t>
        </is>
      </c>
      <c r="O272" s="5" t="inlineStr"/>
      <c r="P272" s="10" t="n">
        <v>1.4</v>
      </c>
      <c r="Q272" s="11" t="inlineStr"/>
      <c r="R272" s="12" t="n">
        <v>46275</v>
      </c>
      <c r="S272" s="5" t="inlineStr"/>
      <c r="T272" s="12" t="inlineStr"/>
      <c r="U272" s="5" t="inlineStr">
        <is>
          <t>Evaluated deployed multilingual/RTL output case.</t>
        </is>
      </c>
    </row>
    <row r="273">
      <c r="A273" s="4" t="inlineStr">
        <is>
          <t>DEV-01-WIN</t>
        </is>
      </c>
      <c r="B273" s="5" t="inlineStr">
        <is>
          <t>Browser and Device</t>
        </is>
      </c>
      <c r="C273" s="5" t="inlineStr">
        <is>
          <t>Candidate profile</t>
        </is>
      </c>
      <c r="D273" s="5" t="inlineStr">
        <is>
          <t>Development Team</t>
        </is>
      </c>
      <c r="E273" s="5" t="inlineStr">
        <is>
          <t>Critical</t>
        </is>
      </c>
      <c r="F273" s="5" t="inlineStr">
        <is>
          <t>Selected UI language recorded</t>
        </is>
      </c>
      <c r="G273" s="5" t="inlineStr">
        <is>
          <t>Windows laptop — Edge/Chrome</t>
        </is>
      </c>
      <c r="H273" s="5" t="inlineStr">
        <is>
          <t>Use deployed HTTPS staging; record device model, OS and browser version in Notes.</t>
        </is>
      </c>
      <c r="I273" s="5" t="inlineStr">
        <is>
          <t>Complete Candidate profile on Windows laptop — Edge/Chrome.</t>
        </is>
      </c>
      <c r="J273" s="5" t="inlineStr">
        <is>
          <t>Open a fresh session; complete the journey; rotate/resize where applicable; verify microphone and file picker where relevant; record completion, layout defects and screenshot.</t>
        </is>
      </c>
      <c r="K273" s="5" t="inlineStr">
        <is>
          <t>Critical controls remain visible and usable; saved data is correct; no device-specific blocker or insecure connection warning.</t>
        </is>
      </c>
      <c r="L273" s="5" t="inlineStr"/>
      <c r="M273" s="5" t="inlineStr"/>
      <c r="N273" s="5" t="inlineStr"/>
      <c r="O273" s="5" t="inlineStr"/>
      <c r="P273" s="10" t="inlineStr"/>
      <c r="Q273" s="11" t="inlineStr"/>
      <c r="R273" s="12" t="inlineStr"/>
      <c r="S273" s="5" t="inlineStr"/>
      <c r="T273" s="12" t="inlineStr"/>
      <c r="U273" s="5" t="inlineStr"/>
    </row>
    <row r="274">
      <c r="A274" s="4" t="inlineStr">
        <is>
          <t>DEV-01-AND</t>
        </is>
      </c>
      <c r="B274" s="5" t="inlineStr">
        <is>
          <t>Browser and Device</t>
        </is>
      </c>
      <c r="C274" s="5" t="inlineStr">
        <is>
          <t>Candidate profile</t>
        </is>
      </c>
      <c r="D274" s="5" t="inlineStr">
        <is>
          <t>Development Team</t>
        </is>
      </c>
      <c r="E274" s="5" t="inlineStr">
        <is>
          <t>Critical</t>
        </is>
      </c>
      <c r="F274" s="5" t="inlineStr">
        <is>
          <t>Selected UI language recorded</t>
        </is>
      </c>
      <c r="G274" s="5" t="inlineStr">
        <is>
          <t>Android phone — Chrome</t>
        </is>
      </c>
      <c r="H274" s="5" t="inlineStr">
        <is>
          <t>Use deployed HTTPS staging; record device model, OS and browser version in Notes.</t>
        </is>
      </c>
      <c r="I274" s="5" t="inlineStr">
        <is>
          <t>Complete Candidate profile on Android phone — Chrome.</t>
        </is>
      </c>
      <c r="J274" s="5" t="inlineStr">
        <is>
          <t>Open a fresh session; complete the journey; rotate/resize where applicable; verify microphone and file picker where relevant; record completion, layout defects and screenshot.</t>
        </is>
      </c>
      <c r="K274" s="5" t="inlineStr">
        <is>
          <t>Critical controls remain visible and usable; saved data is correct; no device-specific blocker or insecure connection warning.</t>
        </is>
      </c>
      <c r="L274" s="5" t="inlineStr"/>
      <c r="M274" s="5" t="inlineStr"/>
      <c r="N274" s="5" t="inlineStr"/>
      <c r="O274" s="5" t="inlineStr"/>
      <c r="P274" s="10" t="inlineStr"/>
      <c r="Q274" s="11" t="inlineStr"/>
      <c r="R274" s="12" t="inlineStr"/>
      <c r="S274" s="5" t="inlineStr"/>
      <c r="T274" s="12" t="inlineStr"/>
      <c r="U274" s="5" t="inlineStr"/>
    </row>
    <row r="275">
      <c r="A275" s="4" t="inlineStr">
        <is>
          <t>DEV-01-IOS</t>
        </is>
      </c>
      <c r="B275" s="5" t="inlineStr">
        <is>
          <t>Browser and Device</t>
        </is>
      </c>
      <c r="C275" s="5" t="inlineStr">
        <is>
          <t>Candidate profile</t>
        </is>
      </c>
      <c r="D275" s="5" t="inlineStr">
        <is>
          <t>Development Team</t>
        </is>
      </c>
      <c r="E275" s="5" t="inlineStr">
        <is>
          <t>Critical</t>
        </is>
      </c>
      <c r="F275" s="5" t="inlineStr">
        <is>
          <t>Selected UI language recorded</t>
        </is>
      </c>
      <c r="G275" s="5" t="inlineStr">
        <is>
          <t>iPhone/iPad — Safari</t>
        </is>
      </c>
      <c r="H275" s="5" t="inlineStr">
        <is>
          <t>Use deployed HTTPS staging; record device model, OS and browser version in Notes.</t>
        </is>
      </c>
      <c r="I275" s="5" t="inlineStr">
        <is>
          <t>Complete Candidate profile on iPhone/iPad — Safari.</t>
        </is>
      </c>
      <c r="J275" s="5" t="inlineStr">
        <is>
          <t>Open a fresh session; complete the journey; rotate/resize where applicable; verify microphone and file picker where relevant; record completion, layout defects and screenshot.</t>
        </is>
      </c>
      <c r="K275" s="5" t="inlineStr">
        <is>
          <t>Critical controls remain visible and usable; saved data is correct; no device-specific blocker or insecure connection warning.</t>
        </is>
      </c>
      <c r="L275" s="5" t="inlineStr"/>
      <c r="M275" s="5" t="inlineStr"/>
      <c r="N275" s="5" t="inlineStr"/>
      <c r="O275" s="5" t="inlineStr"/>
      <c r="P275" s="10" t="inlineStr"/>
      <c r="Q275" s="11" t="inlineStr"/>
      <c r="R275" s="12" t="inlineStr"/>
      <c r="S275" s="5" t="inlineStr"/>
      <c r="T275" s="12" t="inlineStr"/>
      <c r="U275" s="5" t="inlineStr"/>
    </row>
    <row r="276">
      <c r="A276" s="4" t="inlineStr">
        <is>
          <t>DEV-02-WIN</t>
        </is>
      </c>
      <c r="B276" s="5" t="inlineStr">
        <is>
          <t>Browser and Device</t>
        </is>
      </c>
      <c r="C276" s="5" t="inlineStr">
        <is>
          <t>AI suggestions</t>
        </is>
      </c>
      <c r="D276" s="5" t="inlineStr">
        <is>
          <t>Development Team</t>
        </is>
      </c>
      <c r="E276" s="5" t="inlineStr">
        <is>
          <t>High</t>
        </is>
      </c>
      <c r="F276" s="5" t="inlineStr">
        <is>
          <t>Selected UI language recorded</t>
        </is>
      </c>
      <c r="G276" s="5" t="inlineStr">
        <is>
          <t>Windows laptop — Edge/Chrome</t>
        </is>
      </c>
      <c r="H276" s="5" t="inlineStr">
        <is>
          <t>Use deployed HTTPS staging; record device model, OS and browser version in Notes.</t>
        </is>
      </c>
      <c r="I276" s="5" t="inlineStr">
        <is>
          <t>Complete AI suggestions on Windows laptop — Edge/Chrome.</t>
        </is>
      </c>
      <c r="J276" s="5" t="inlineStr">
        <is>
          <t>Open a fresh session; complete the journey; rotate/resize where applicable; verify microphone and file picker where relevant; record completion, layout defects and screenshot.</t>
        </is>
      </c>
      <c r="K276" s="5" t="inlineStr">
        <is>
          <t>Critical controls remain visible and usable; saved data is correct; no device-specific blocker or insecure connection warning.</t>
        </is>
      </c>
      <c r="L276" s="5" t="inlineStr"/>
      <c r="M276" s="5" t="inlineStr"/>
      <c r="N276" s="5" t="inlineStr"/>
      <c r="O276" s="5" t="inlineStr"/>
      <c r="P276" s="10" t="inlineStr"/>
      <c r="Q276" s="11" t="inlineStr"/>
      <c r="R276" s="12" t="inlineStr"/>
      <c r="S276" s="5" t="inlineStr"/>
      <c r="T276" s="12" t="inlineStr"/>
      <c r="U276" s="5" t="inlineStr"/>
    </row>
    <row r="277">
      <c r="A277" s="4" t="inlineStr">
        <is>
          <t>DEV-02-AND</t>
        </is>
      </c>
      <c r="B277" s="5" t="inlineStr">
        <is>
          <t>Browser and Device</t>
        </is>
      </c>
      <c r="C277" s="5" t="inlineStr">
        <is>
          <t>AI suggestions</t>
        </is>
      </c>
      <c r="D277" s="5" t="inlineStr">
        <is>
          <t>Development Team</t>
        </is>
      </c>
      <c r="E277" s="5" t="inlineStr">
        <is>
          <t>High</t>
        </is>
      </c>
      <c r="F277" s="5" t="inlineStr">
        <is>
          <t>Selected UI language recorded</t>
        </is>
      </c>
      <c r="G277" s="5" t="inlineStr">
        <is>
          <t>Android phone — Chrome</t>
        </is>
      </c>
      <c r="H277" s="5" t="inlineStr">
        <is>
          <t>Use deployed HTTPS staging; record device model, OS and browser version in Notes.</t>
        </is>
      </c>
      <c r="I277" s="5" t="inlineStr">
        <is>
          <t>Complete AI suggestions on Android phone — Chrome.</t>
        </is>
      </c>
      <c r="J277" s="5" t="inlineStr">
        <is>
          <t>Open a fresh session; complete the journey; rotate/resize where applicable; verify microphone and file picker where relevant; record completion, layout defects and screenshot.</t>
        </is>
      </c>
      <c r="K277" s="5" t="inlineStr">
        <is>
          <t>Critical controls remain visible and usable; saved data is correct; no device-specific blocker or insecure connection warning.</t>
        </is>
      </c>
      <c r="L277" s="5" t="inlineStr"/>
      <c r="M277" s="5" t="inlineStr"/>
      <c r="N277" s="5" t="inlineStr"/>
      <c r="O277" s="5" t="inlineStr"/>
      <c r="P277" s="10" t="inlineStr"/>
      <c r="Q277" s="11" t="inlineStr"/>
      <c r="R277" s="12" t="inlineStr"/>
      <c r="S277" s="5" t="inlineStr"/>
      <c r="T277" s="12" t="inlineStr"/>
      <c r="U277" s="5" t="inlineStr"/>
    </row>
    <row r="278">
      <c r="A278" s="4" t="inlineStr">
        <is>
          <t>DEV-02-IOS</t>
        </is>
      </c>
      <c r="B278" s="5" t="inlineStr">
        <is>
          <t>Browser and Device</t>
        </is>
      </c>
      <c r="C278" s="5" t="inlineStr">
        <is>
          <t>AI suggestions</t>
        </is>
      </c>
      <c r="D278" s="5" t="inlineStr">
        <is>
          <t>Development Team</t>
        </is>
      </c>
      <c r="E278" s="5" t="inlineStr">
        <is>
          <t>High</t>
        </is>
      </c>
      <c r="F278" s="5" t="inlineStr">
        <is>
          <t>Selected UI language recorded</t>
        </is>
      </c>
      <c r="G278" s="5" t="inlineStr">
        <is>
          <t>iPhone/iPad — Safari</t>
        </is>
      </c>
      <c r="H278" s="5" t="inlineStr">
        <is>
          <t>Use deployed HTTPS staging; record device model, OS and browser version in Notes.</t>
        </is>
      </c>
      <c r="I278" s="5" t="inlineStr">
        <is>
          <t>Complete AI suggestions on iPhone/iPad — Safari.</t>
        </is>
      </c>
      <c r="J278" s="5" t="inlineStr">
        <is>
          <t>Open a fresh session; complete the journey; rotate/resize where applicable; verify microphone and file picker where relevant; record completion, layout defects and screenshot.</t>
        </is>
      </c>
      <c r="K278" s="5" t="inlineStr">
        <is>
          <t>Critical controls remain visible and usable; saved data is correct; no device-specific blocker or insecure connection warning.</t>
        </is>
      </c>
      <c r="L278" s="5" t="inlineStr"/>
      <c r="M278" s="5" t="inlineStr"/>
      <c r="N278" s="5" t="inlineStr"/>
      <c r="O278" s="5" t="inlineStr"/>
      <c r="P278" s="10" t="inlineStr"/>
      <c r="Q278" s="11" t="inlineStr"/>
      <c r="R278" s="12" t="inlineStr"/>
      <c r="S278" s="5" t="inlineStr"/>
      <c r="T278" s="12" t="inlineStr"/>
      <c r="U278" s="5" t="inlineStr"/>
    </row>
    <row r="279">
      <c r="A279" s="4" t="inlineStr">
        <is>
          <t>DEV-03-WIN</t>
        </is>
      </c>
      <c r="B279" s="5" t="inlineStr">
        <is>
          <t>Browser and Device</t>
        </is>
      </c>
      <c r="C279" s="5" t="inlineStr">
        <is>
          <t>Matching and application</t>
        </is>
      </c>
      <c r="D279" s="5" t="inlineStr">
        <is>
          <t>Development Team</t>
        </is>
      </c>
      <c r="E279" s="5" t="inlineStr">
        <is>
          <t>Critical</t>
        </is>
      </c>
      <c r="F279" s="5" t="inlineStr">
        <is>
          <t>Selected UI language recorded</t>
        </is>
      </c>
      <c r="G279" s="5" t="inlineStr">
        <is>
          <t>Windows laptop — Edge/Chrome</t>
        </is>
      </c>
      <c r="H279" s="5" t="inlineStr">
        <is>
          <t>Use deployed HTTPS staging; record device model, OS and browser version in Notes.</t>
        </is>
      </c>
      <c r="I279" s="5" t="inlineStr">
        <is>
          <t>Complete Matching and application on Windows laptop — Edge/Chrome.</t>
        </is>
      </c>
      <c r="J279" s="5" t="inlineStr">
        <is>
          <t>Open a fresh session; complete the journey; rotate/resize where applicable; verify microphone and file picker where relevant; record completion, layout defects and screenshot.</t>
        </is>
      </c>
      <c r="K279" s="5" t="inlineStr">
        <is>
          <t>Critical controls remain visible and usable; saved data is correct; no device-specific blocker or insecure connection warning.</t>
        </is>
      </c>
      <c r="L279" s="5" t="inlineStr"/>
      <c r="M279" s="5" t="inlineStr"/>
      <c r="N279" s="5" t="inlineStr"/>
      <c r="O279" s="5" t="inlineStr"/>
      <c r="P279" s="10" t="inlineStr"/>
      <c r="Q279" s="11" t="inlineStr"/>
      <c r="R279" s="12" t="inlineStr"/>
      <c r="S279" s="5" t="inlineStr"/>
      <c r="T279" s="12" t="inlineStr"/>
      <c r="U279" s="5" t="inlineStr"/>
    </row>
    <row r="280">
      <c r="A280" s="4" t="inlineStr">
        <is>
          <t>DEV-03-AND</t>
        </is>
      </c>
      <c r="B280" s="5" t="inlineStr">
        <is>
          <t>Browser and Device</t>
        </is>
      </c>
      <c r="C280" s="5" t="inlineStr">
        <is>
          <t>Matching and application</t>
        </is>
      </c>
      <c r="D280" s="5" t="inlineStr">
        <is>
          <t>Development Team</t>
        </is>
      </c>
      <c r="E280" s="5" t="inlineStr">
        <is>
          <t>Critical</t>
        </is>
      </c>
      <c r="F280" s="5" t="inlineStr">
        <is>
          <t>Selected UI language recorded</t>
        </is>
      </c>
      <c r="G280" s="5" t="inlineStr">
        <is>
          <t>Android phone — Chrome</t>
        </is>
      </c>
      <c r="H280" s="5" t="inlineStr">
        <is>
          <t>Use deployed HTTPS staging; record device model, OS and browser version in Notes.</t>
        </is>
      </c>
      <c r="I280" s="5" t="inlineStr">
        <is>
          <t>Complete Matching and application on Android phone — Chrome.</t>
        </is>
      </c>
      <c r="J280" s="5" t="inlineStr">
        <is>
          <t>Open a fresh session; complete the journey; rotate/resize where applicable; verify microphone and file picker where relevant; record completion, layout defects and screenshot.</t>
        </is>
      </c>
      <c r="K280" s="5" t="inlineStr">
        <is>
          <t>Critical controls remain visible and usable; saved data is correct; no device-specific blocker or insecure connection warning.</t>
        </is>
      </c>
      <c r="L280" s="5" t="inlineStr"/>
      <c r="M280" s="5" t="inlineStr"/>
      <c r="N280" s="5" t="inlineStr"/>
      <c r="O280" s="5" t="inlineStr"/>
      <c r="P280" s="10" t="inlineStr"/>
      <c r="Q280" s="11" t="inlineStr"/>
      <c r="R280" s="12" t="inlineStr"/>
      <c r="S280" s="5" t="inlineStr"/>
      <c r="T280" s="12" t="inlineStr"/>
      <c r="U280" s="5" t="inlineStr"/>
    </row>
    <row r="281">
      <c r="A281" s="4" t="inlineStr">
        <is>
          <t>DEV-03-IOS</t>
        </is>
      </c>
      <c r="B281" s="5" t="inlineStr">
        <is>
          <t>Browser and Device</t>
        </is>
      </c>
      <c r="C281" s="5" t="inlineStr">
        <is>
          <t>Matching and application</t>
        </is>
      </c>
      <c r="D281" s="5" t="inlineStr">
        <is>
          <t>Development Team</t>
        </is>
      </c>
      <c r="E281" s="5" t="inlineStr">
        <is>
          <t>Critical</t>
        </is>
      </c>
      <c r="F281" s="5" t="inlineStr">
        <is>
          <t>Selected UI language recorded</t>
        </is>
      </c>
      <c r="G281" s="5" t="inlineStr">
        <is>
          <t>iPhone/iPad — Safari</t>
        </is>
      </c>
      <c r="H281" s="5" t="inlineStr">
        <is>
          <t>Use deployed HTTPS staging; record device model, OS and browser version in Notes.</t>
        </is>
      </c>
      <c r="I281" s="5" t="inlineStr">
        <is>
          <t>Complete Matching and application on iPhone/iPad — Safari.</t>
        </is>
      </c>
      <c r="J281" s="5" t="inlineStr">
        <is>
          <t>Open a fresh session; complete the journey; rotate/resize where applicable; verify microphone and file picker where relevant; record completion, layout defects and screenshot.</t>
        </is>
      </c>
      <c r="K281" s="5" t="inlineStr">
        <is>
          <t>Critical controls remain visible and usable; saved data is correct; no device-specific blocker or insecure connection warning.</t>
        </is>
      </c>
      <c r="L281" s="5" t="inlineStr"/>
      <c r="M281" s="5" t="inlineStr"/>
      <c r="N281" s="5" t="inlineStr"/>
      <c r="O281" s="5" t="inlineStr"/>
      <c r="P281" s="10" t="inlineStr"/>
      <c r="Q281" s="11" t="inlineStr"/>
      <c r="R281" s="12" t="inlineStr"/>
      <c r="S281" s="5" t="inlineStr"/>
      <c r="T281" s="12" t="inlineStr"/>
      <c r="U281" s="5" t="inlineStr"/>
    </row>
    <row r="282">
      <c r="A282" s="4" t="inlineStr">
        <is>
          <t>DEV-04-WIN</t>
        </is>
      </c>
      <c r="B282" s="5" t="inlineStr">
        <is>
          <t>Browser and Device</t>
        </is>
      </c>
      <c r="C282" s="5" t="inlineStr">
        <is>
          <t>Employer opportunity creation</t>
        </is>
      </c>
      <c r="D282" s="5" t="inlineStr">
        <is>
          <t>Development Team</t>
        </is>
      </c>
      <c r="E282" s="5" t="inlineStr">
        <is>
          <t>High</t>
        </is>
      </c>
      <c r="F282" s="5" t="inlineStr">
        <is>
          <t>Selected UI language recorded</t>
        </is>
      </c>
      <c r="G282" s="5" t="inlineStr">
        <is>
          <t>Windows laptop — Edge/Chrome</t>
        </is>
      </c>
      <c r="H282" s="5" t="inlineStr">
        <is>
          <t>Use deployed HTTPS staging; record device model, OS and browser version in Notes.</t>
        </is>
      </c>
      <c r="I282" s="5" t="inlineStr">
        <is>
          <t>Complete Employer opportunity creation on Windows laptop — Edge/Chrome.</t>
        </is>
      </c>
      <c r="J282" s="5" t="inlineStr">
        <is>
          <t>Open a fresh session; complete the journey; rotate/resize where applicable; verify microphone and file picker where relevant; record completion, layout defects and screenshot.</t>
        </is>
      </c>
      <c r="K282" s="5" t="inlineStr">
        <is>
          <t>Critical controls remain visible and usable; saved data is correct; no device-specific blocker or insecure connection warning.</t>
        </is>
      </c>
      <c r="L282" s="5" t="inlineStr"/>
      <c r="M282" s="5" t="inlineStr"/>
      <c r="N282" s="5" t="inlineStr"/>
      <c r="O282" s="5" t="inlineStr"/>
      <c r="P282" s="10" t="inlineStr"/>
      <c r="Q282" s="11" t="inlineStr"/>
      <c r="R282" s="12" t="inlineStr"/>
      <c r="S282" s="5" t="inlineStr"/>
      <c r="T282" s="12" t="inlineStr"/>
      <c r="U282" s="5" t="inlineStr"/>
    </row>
    <row r="283">
      <c r="A283" s="4" t="inlineStr">
        <is>
          <t>DEV-04-AND</t>
        </is>
      </c>
      <c r="B283" s="5" t="inlineStr">
        <is>
          <t>Browser and Device</t>
        </is>
      </c>
      <c r="C283" s="5" t="inlineStr">
        <is>
          <t>Employer opportunity creation</t>
        </is>
      </c>
      <c r="D283" s="5" t="inlineStr">
        <is>
          <t>Development Team</t>
        </is>
      </c>
      <c r="E283" s="5" t="inlineStr">
        <is>
          <t>High</t>
        </is>
      </c>
      <c r="F283" s="5" t="inlineStr">
        <is>
          <t>Selected UI language recorded</t>
        </is>
      </c>
      <c r="G283" s="5" t="inlineStr">
        <is>
          <t>Android phone — Chrome</t>
        </is>
      </c>
      <c r="H283" s="5" t="inlineStr">
        <is>
          <t>Use deployed HTTPS staging; record device model, OS and browser version in Notes.</t>
        </is>
      </c>
      <c r="I283" s="5" t="inlineStr">
        <is>
          <t>Complete Employer opportunity creation on Android phone — Chrome.</t>
        </is>
      </c>
      <c r="J283" s="5" t="inlineStr">
        <is>
          <t>Open a fresh session; complete the journey; rotate/resize where applicable; verify microphone and file picker where relevant; record completion, layout defects and screenshot.</t>
        </is>
      </c>
      <c r="K283" s="5" t="inlineStr">
        <is>
          <t>Critical controls remain visible and usable; saved data is correct; no device-specific blocker or insecure connection warning.</t>
        </is>
      </c>
      <c r="L283" s="5" t="inlineStr"/>
      <c r="M283" s="5" t="inlineStr"/>
      <c r="N283" s="5" t="inlineStr"/>
      <c r="O283" s="5" t="inlineStr"/>
      <c r="P283" s="10" t="inlineStr"/>
      <c r="Q283" s="11" t="inlineStr"/>
      <c r="R283" s="12" t="inlineStr"/>
      <c r="S283" s="5" t="inlineStr"/>
      <c r="T283" s="12" t="inlineStr"/>
      <c r="U283" s="5" t="inlineStr"/>
    </row>
    <row r="284">
      <c r="A284" s="4" t="inlineStr">
        <is>
          <t>DEV-04-IOS</t>
        </is>
      </c>
      <c r="B284" s="5" t="inlineStr">
        <is>
          <t>Browser and Device</t>
        </is>
      </c>
      <c r="C284" s="5" t="inlineStr">
        <is>
          <t>Employer opportunity creation</t>
        </is>
      </c>
      <c r="D284" s="5" t="inlineStr">
        <is>
          <t>Development Team</t>
        </is>
      </c>
      <c r="E284" s="5" t="inlineStr">
        <is>
          <t>High</t>
        </is>
      </c>
      <c r="F284" s="5" t="inlineStr">
        <is>
          <t>Selected UI language recorded</t>
        </is>
      </c>
      <c r="G284" s="5" t="inlineStr">
        <is>
          <t>iPhone/iPad — Safari</t>
        </is>
      </c>
      <c r="H284" s="5" t="inlineStr">
        <is>
          <t>Use deployed HTTPS staging; record device model, OS and browser version in Notes.</t>
        </is>
      </c>
      <c r="I284" s="5" t="inlineStr">
        <is>
          <t>Complete Employer opportunity creation on iPhone/iPad — Safari.</t>
        </is>
      </c>
      <c r="J284" s="5" t="inlineStr">
        <is>
          <t>Open a fresh session; complete the journey; rotate/resize where applicable; verify microphone and file picker where relevant; record completion, layout defects and screenshot.</t>
        </is>
      </c>
      <c r="K284" s="5" t="inlineStr">
        <is>
          <t>Critical controls remain visible and usable; saved data is correct; no device-specific blocker or insecure connection warning.</t>
        </is>
      </c>
      <c r="L284" s="5" t="inlineStr"/>
      <c r="M284" s="5" t="inlineStr"/>
      <c r="N284" s="5" t="inlineStr"/>
      <c r="O284" s="5" t="inlineStr"/>
      <c r="P284" s="10" t="inlineStr"/>
      <c r="Q284" s="11" t="inlineStr"/>
      <c r="R284" s="12" t="inlineStr"/>
      <c r="S284" s="5" t="inlineStr"/>
      <c r="T284" s="12" t="inlineStr"/>
      <c r="U284" s="5" t="inlineStr"/>
    </row>
    <row r="285">
      <c r="A285" s="4" t="inlineStr">
        <is>
          <t>PERF-01-L1</t>
        </is>
      </c>
      <c r="B285" s="5" t="inlineStr">
        <is>
          <t>Performance and Reliability</t>
        </is>
      </c>
      <c r="C285" s="5" t="inlineStr">
        <is>
          <t>Sign in</t>
        </is>
      </c>
      <c r="D285" s="5" t="inlineStr">
        <is>
          <t>Development Team</t>
        </is>
      </c>
      <c r="E285" s="5" t="inlineStr">
        <is>
          <t>High</t>
        </is>
      </c>
      <c r="F285" s="5" t="inlineStr">
        <is>
          <t>N/A</t>
        </is>
      </c>
      <c r="G285" s="5" t="inlineStr">
        <is>
          <t>1 user / normal network</t>
        </is>
      </c>
      <c r="H285" s="5" t="inlineStr">
        <is>
          <t>Staging services healthy; test data isolated; timer and server logs available.</t>
        </is>
      </c>
      <c r="I285" s="5" t="inlineStr">
        <is>
          <t>Measure Sign in under 1 user / normal network.</t>
        </is>
      </c>
      <c r="J285" s="5" t="inlineStr">
        <is>
          <t>Run the prepared operation with the stated load; record successes, failures, p50/p95 where multiple requests are used, 5xx responses and recovery behaviour; verify final data integrity.</t>
        </is>
      </c>
      <c r="K285" s="5" t="inlineStr">
        <is>
          <t>Successful authenticated session. Non-AI p95 &lt;1 s, scoring p95 &lt;2 s, voice p95 &lt;10 s, AI suggestions p95 &lt;30 s where applicable; &lt;1% 5xx.</t>
        </is>
      </c>
      <c r="L285" s="5" t="inlineStr">
        <is>
          <t>3/3 requests returned successfully with 0 server errors; p50=3196.8 ms and p95=3306.4 ms versus the 1500 ms target.</t>
        </is>
      </c>
      <c r="M285" s="5" t="inlineStr">
        <is>
          <t>EV-PERF-001, EV-PERF-002</t>
        </is>
      </c>
      <c r="N285" s="5" t="inlineStr">
        <is>
          <t>Fail</t>
        </is>
      </c>
      <c r="O285" s="5" t="inlineStr"/>
      <c r="P285" s="10" t="inlineStr"/>
      <c r="Q285" s="11" t="n">
        <v>3306.4</v>
      </c>
      <c r="R285" s="12" t="n">
        <v>46275</v>
      </c>
      <c r="S285" s="5" t="inlineStr"/>
      <c r="T285" s="12" t="inlineStr"/>
      <c r="U285" s="5" t="inlineStr">
        <is>
          <t>Correct HTTP outputs were returned; status reflects latency only.</t>
        </is>
      </c>
    </row>
    <row r="286">
      <c r="A286" s="4" t="inlineStr">
        <is>
          <t>PERF-01-L5</t>
        </is>
      </c>
      <c r="B286" s="5" t="inlineStr">
        <is>
          <t>Performance and Reliability</t>
        </is>
      </c>
      <c r="C286" s="5" t="inlineStr">
        <is>
          <t>Sign in</t>
        </is>
      </c>
      <c r="D286" s="5" t="inlineStr">
        <is>
          <t>Development Team</t>
        </is>
      </c>
      <c r="E286" s="5" t="inlineStr">
        <is>
          <t>High</t>
        </is>
      </c>
      <c r="F286" s="5" t="inlineStr">
        <is>
          <t>N/A</t>
        </is>
      </c>
      <c r="G286" s="5" t="inlineStr">
        <is>
          <t>5 concurrent users or requests</t>
        </is>
      </c>
      <c r="H286" s="5" t="inlineStr">
        <is>
          <t>Staging services healthy; test data isolated; timer and server logs available.</t>
        </is>
      </c>
      <c r="I286" s="5" t="inlineStr">
        <is>
          <t>Measure Sign in under 5 concurrent users or requests.</t>
        </is>
      </c>
      <c r="J286" s="5" t="inlineStr">
        <is>
          <t>Run the prepared operation with the stated load; record successes, failures, p50/p95 where multiple requests are used, 5xx responses and recovery behaviour; verify final data integrity.</t>
        </is>
      </c>
      <c r="K286" s="5" t="inlineStr">
        <is>
          <t>Successful authenticated session. Non-AI p95 &lt;1 s, scoring p95 &lt;2 s, voice p95 &lt;10 s, AI suggestions p95 &lt;30 s where applicable; &lt;1% 5xx.</t>
        </is>
      </c>
      <c r="L286" s="5" t="inlineStr">
        <is>
          <t>15/15 requests returned successfully with 0 server errors; p50=15601.1 ms and p95=16098.3 ms versus the 3000 ms target.</t>
        </is>
      </c>
      <c r="M286" s="5" t="inlineStr">
        <is>
          <t>EV-PERF-001, EV-PERF-002</t>
        </is>
      </c>
      <c r="N286" s="5" t="inlineStr">
        <is>
          <t>Fail</t>
        </is>
      </c>
      <c r="O286" s="5" t="inlineStr"/>
      <c r="P286" s="10" t="inlineStr"/>
      <c r="Q286" s="11" t="n">
        <v>16098.3</v>
      </c>
      <c r="R286" s="12" t="n">
        <v>46275</v>
      </c>
      <c r="S286" s="5" t="inlineStr"/>
      <c r="T286" s="12" t="inlineStr"/>
      <c r="U286" s="5" t="inlineStr">
        <is>
          <t>Correct HTTP outputs were returned; status reflects latency only.</t>
        </is>
      </c>
    </row>
    <row r="287">
      <c r="A287" s="4" t="inlineStr">
        <is>
          <t>PERF-01-L10</t>
        </is>
      </c>
      <c r="B287" s="5" t="inlineStr">
        <is>
          <t>Performance and Reliability</t>
        </is>
      </c>
      <c r="C287" s="5" t="inlineStr">
        <is>
          <t>Sign in</t>
        </is>
      </c>
      <c r="D287" s="5" t="inlineStr">
        <is>
          <t>Development Team</t>
        </is>
      </c>
      <c r="E287" s="5" t="inlineStr">
        <is>
          <t>High</t>
        </is>
      </c>
      <c r="F287" s="5" t="inlineStr">
        <is>
          <t>N/A</t>
        </is>
      </c>
      <c r="G287" s="5" t="inlineStr">
        <is>
          <t>10 concurrent users or throttled network</t>
        </is>
      </c>
      <c r="H287" s="5" t="inlineStr">
        <is>
          <t>Staging services healthy; test data isolated; timer and server logs available.</t>
        </is>
      </c>
      <c r="I287" s="5" t="inlineStr">
        <is>
          <t>Measure Sign in under 10 concurrent users or throttled network.</t>
        </is>
      </c>
      <c r="J287" s="5" t="inlineStr">
        <is>
          <t>Run the prepared operation with the stated load; record successes, failures, p50/p95 where multiple requests are used, 5xx responses and recovery behaviour; verify final data integrity.</t>
        </is>
      </c>
      <c r="K287" s="5" t="inlineStr">
        <is>
          <t>Successful authenticated session. Non-AI p95 &lt;1 s, scoring p95 &lt;2 s, voice p95 &lt;10 s, AI suggestions p95 &lt;30 s where applicable; &lt;1% 5xx.</t>
        </is>
      </c>
      <c r="L287" s="5" t="inlineStr">
        <is>
          <t>30/30 requests returned successfully with 0 server errors; p50=27297.5 ms and p95=32688.8 ms versus the 5000 ms target.</t>
        </is>
      </c>
      <c r="M287" s="5" t="inlineStr">
        <is>
          <t>EV-PERF-001, EV-PERF-002</t>
        </is>
      </c>
      <c r="N287" s="5" t="inlineStr">
        <is>
          <t>Fail</t>
        </is>
      </c>
      <c r="O287" s="5" t="inlineStr"/>
      <c r="P287" s="10" t="inlineStr"/>
      <c r="Q287" s="11" t="n">
        <v>32688.8</v>
      </c>
      <c r="R287" s="12" t="n">
        <v>46275</v>
      </c>
      <c r="S287" s="5" t="inlineStr"/>
      <c r="T287" s="12" t="inlineStr"/>
      <c r="U287" s="5" t="inlineStr">
        <is>
          <t>Correct HTTP outputs were returned; status reflects latency only.</t>
        </is>
      </c>
    </row>
    <row r="288">
      <c r="A288" s="4" t="inlineStr">
        <is>
          <t>PERF-02-L1</t>
        </is>
      </c>
      <c r="B288" s="5" t="inlineStr">
        <is>
          <t>Performance and Reliability</t>
        </is>
      </c>
      <c r="C288" s="5" t="inlineStr">
        <is>
          <t>Load candidate profile</t>
        </is>
      </c>
      <c r="D288" s="5" t="inlineStr">
        <is>
          <t>Development Team</t>
        </is>
      </c>
      <c r="E288" s="5" t="inlineStr">
        <is>
          <t>High</t>
        </is>
      </c>
      <c r="F288" s="5" t="inlineStr">
        <is>
          <t>N/A</t>
        </is>
      </c>
      <c r="G288" s="5" t="inlineStr">
        <is>
          <t>1 user / normal network</t>
        </is>
      </c>
      <c r="H288" s="5" t="inlineStr">
        <is>
          <t>Staging services healthy; test data isolated; timer and server logs available.</t>
        </is>
      </c>
      <c r="I288" s="5" t="inlineStr">
        <is>
          <t>Measure Load candidate profile under 1 user / normal network.</t>
        </is>
      </c>
      <c r="J288" s="5" t="inlineStr">
        <is>
          <t>Run the prepared operation with the stated load; record successes, failures, p50/p95 where multiple requests are used, 5xx responses and recovery behaviour; verify final data integrity.</t>
        </is>
      </c>
      <c r="K288" s="5" t="inlineStr">
        <is>
          <t>Profile JSON and UI load correctly. Non-AI p95 &lt;1 s, scoring p95 &lt;2 s, voice p95 &lt;10 s, AI suggestions p95 &lt;30 s where applicable; &lt;1% 5xx.</t>
        </is>
      </c>
      <c r="L288" s="5" t="inlineStr">
        <is>
          <t>3/3 requests returned successfully with 0 server errors; p50=210.2 ms and p95=213.2 ms versus the 1500 ms target.</t>
        </is>
      </c>
      <c r="M288" s="5" t="inlineStr">
        <is>
          <t>EV-PERF-001, EV-PERF-002</t>
        </is>
      </c>
      <c r="N288" s="5" t="inlineStr">
        <is>
          <t>Pass</t>
        </is>
      </c>
      <c r="O288" s="5" t="inlineStr"/>
      <c r="P288" s="10" t="inlineStr"/>
      <c r="Q288" s="11" t="n">
        <v>213.2</v>
      </c>
      <c r="R288" s="12" t="n">
        <v>46275</v>
      </c>
      <c r="S288" s="5" t="inlineStr"/>
      <c r="T288" s="12" t="inlineStr"/>
      <c r="U288" s="5" t="inlineStr">
        <is>
          <t>Correct HTTP outputs were returned; status reflects latency only.</t>
        </is>
      </c>
    </row>
    <row r="289">
      <c r="A289" s="4" t="inlineStr">
        <is>
          <t>PERF-02-L5</t>
        </is>
      </c>
      <c r="B289" s="5" t="inlineStr">
        <is>
          <t>Performance and Reliability</t>
        </is>
      </c>
      <c r="C289" s="5" t="inlineStr">
        <is>
          <t>Load candidate profile</t>
        </is>
      </c>
      <c r="D289" s="5" t="inlineStr">
        <is>
          <t>Development Team</t>
        </is>
      </c>
      <c r="E289" s="5" t="inlineStr">
        <is>
          <t>High</t>
        </is>
      </c>
      <c r="F289" s="5" t="inlineStr">
        <is>
          <t>N/A</t>
        </is>
      </c>
      <c r="G289" s="5" t="inlineStr">
        <is>
          <t>5 concurrent users or requests</t>
        </is>
      </c>
      <c r="H289" s="5" t="inlineStr">
        <is>
          <t>Staging services healthy; test data isolated; timer and server logs available.</t>
        </is>
      </c>
      <c r="I289" s="5" t="inlineStr">
        <is>
          <t>Measure Load candidate profile under 5 concurrent users or requests.</t>
        </is>
      </c>
      <c r="J289" s="5" t="inlineStr">
        <is>
          <t>Run the prepared operation with the stated load; record successes, failures, p50/p95 where multiple requests are used, 5xx responses and recovery behaviour; verify final data integrity.</t>
        </is>
      </c>
      <c r="K289" s="5" t="inlineStr">
        <is>
          <t>Profile JSON and UI load correctly. Non-AI p95 &lt;1 s, scoring p95 &lt;2 s, voice p95 &lt;10 s, AI suggestions p95 &lt;30 s where applicable; &lt;1% 5xx.</t>
        </is>
      </c>
      <c r="L289" s="5" t="inlineStr">
        <is>
          <t>15/15 requests returned successfully with 0 server errors; p50=702 ms and p95=809.1 ms versus the 3000 ms target.</t>
        </is>
      </c>
      <c r="M289" s="5" t="inlineStr">
        <is>
          <t>EV-PERF-001, EV-PERF-002</t>
        </is>
      </c>
      <c r="N289" s="5" t="inlineStr">
        <is>
          <t>Pass</t>
        </is>
      </c>
      <c r="O289" s="5" t="inlineStr"/>
      <c r="P289" s="10" t="inlineStr"/>
      <c r="Q289" s="11" t="n">
        <v>809.1</v>
      </c>
      <c r="R289" s="12" t="n">
        <v>46275</v>
      </c>
      <c r="S289" s="5" t="inlineStr"/>
      <c r="T289" s="12" t="inlineStr"/>
      <c r="U289" s="5" t="inlineStr">
        <is>
          <t>Correct HTTP outputs were returned; status reflects latency only.</t>
        </is>
      </c>
    </row>
    <row r="290">
      <c r="A290" s="4" t="inlineStr">
        <is>
          <t>PERF-02-L10</t>
        </is>
      </c>
      <c r="B290" s="5" t="inlineStr">
        <is>
          <t>Performance and Reliability</t>
        </is>
      </c>
      <c r="C290" s="5" t="inlineStr">
        <is>
          <t>Load candidate profile</t>
        </is>
      </c>
      <c r="D290" s="5" t="inlineStr">
        <is>
          <t>Development Team</t>
        </is>
      </c>
      <c r="E290" s="5" t="inlineStr">
        <is>
          <t>High</t>
        </is>
      </c>
      <c r="F290" s="5" t="inlineStr">
        <is>
          <t>N/A</t>
        </is>
      </c>
      <c r="G290" s="5" t="inlineStr">
        <is>
          <t>10 concurrent users or throttled network</t>
        </is>
      </c>
      <c r="H290" s="5" t="inlineStr">
        <is>
          <t>Staging services healthy; test data isolated; timer and server logs available.</t>
        </is>
      </c>
      <c r="I290" s="5" t="inlineStr">
        <is>
          <t>Measure Load candidate profile under 10 concurrent users or throttled network.</t>
        </is>
      </c>
      <c r="J290" s="5" t="inlineStr">
        <is>
          <t>Run the prepared operation with the stated load; record successes, failures, p50/p95 where multiple requests are used, 5xx responses and recovery behaviour; verify final data integrity.</t>
        </is>
      </c>
      <c r="K290" s="5" t="inlineStr">
        <is>
          <t>Profile JSON and UI load correctly. Non-AI p95 &lt;1 s, scoring p95 &lt;2 s, voice p95 &lt;10 s, AI suggestions p95 &lt;30 s where applicable; &lt;1% 5xx.</t>
        </is>
      </c>
      <c r="L290" s="5" t="inlineStr">
        <is>
          <t>30/30 requests returned successfully with 0 server errors; p50=1381.1 ms and p95=1601.7 ms versus the 5000 ms target.</t>
        </is>
      </c>
      <c r="M290" s="5" t="inlineStr">
        <is>
          <t>EV-PERF-001, EV-PERF-002</t>
        </is>
      </c>
      <c r="N290" s="5" t="inlineStr">
        <is>
          <t>Pass</t>
        </is>
      </c>
      <c r="O290" s="5" t="inlineStr"/>
      <c r="P290" s="10" t="inlineStr"/>
      <c r="Q290" s="11" t="n">
        <v>1601.7</v>
      </c>
      <c r="R290" s="12" t="n">
        <v>46275</v>
      </c>
      <c r="S290" s="5" t="inlineStr"/>
      <c r="T290" s="12" t="inlineStr"/>
      <c r="U290" s="5" t="inlineStr">
        <is>
          <t>Correct HTTP outputs were returned; status reflects latency only.</t>
        </is>
      </c>
    </row>
    <row r="291">
      <c r="A291" s="4" t="inlineStr">
        <is>
          <t>PERF-03-L1</t>
        </is>
      </c>
      <c r="B291" s="5" t="inlineStr">
        <is>
          <t>Performance and Reliability</t>
        </is>
      </c>
      <c r="C291" s="5" t="inlineStr">
        <is>
          <t>Save candidate profile</t>
        </is>
      </c>
      <c r="D291" s="5" t="inlineStr">
        <is>
          <t>Development Team</t>
        </is>
      </c>
      <c r="E291" s="5" t="inlineStr">
        <is>
          <t>High</t>
        </is>
      </c>
      <c r="F291" s="5" t="inlineStr">
        <is>
          <t>N/A</t>
        </is>
      </c>
      <c r="G291" s="5" t="inlineStr">
        <is>
          <t>1 user / normal network</t>
        </is>
      </c>
      <c r="H291" s="5" t="inlineStr">
        <is>
          <t>Staging services healthy; test data isolated; timer and server logs available.</t>
        </is>
      </c>
      <c r="I291" s="5" t="inlineStr">
        <is>
          <t>Measure Save candidate profile under 1 user / normal network.</t>
        </is>
      </c>
      <c r="J291" s="5" t="inlineStr">
        <is>
          <t>Run the prepared operation with the stated load; record successes, failures, p50/p95 where multiple requests are used, 5xx responses and recovery behaviour; verify final data integrity.</t>
        </is>
      </c>
      <c r="K291" s="5" t="inlineStr">
        <is>
          <t>One validated update persists. Non-AI p95 &lt;1 s, scoring p95 &lt;2 s, voice p95 &lt;10 s, AI suggestions p95 &lt;30 s where applicable; &lt;1% 5xx.</t>
        </is>
      </c>
      <c r="L291" s="5" t="inlineStr">
        <is>
          <t>3/3 requests returned successfully, with 0 server errors; p50=200.7 ms and p95=260.8 ms versus the 1000 ms target.</t>
        </is>
      </c>
      <c r="M291" s="5" t="inlineStr">
        <is>
          <t>EV-PERF-003</t>
        </is>
      </c>
      <c r="N291" s="5" t="inlineStr">
        <is>
          <t>Pass</t>
        </is>
      </c>
      <c r="O291" s="5" t="inlineStr"/>
      <c r="P291" s="10" t="inlineStr"/>
      <c r="Q291" s="11" t="n">
        <v>260.8</v>
      </c>
      <c r="R291" s="12" t="n">
        <v>46275</v>
      </c>
      <c r="S291" s="5" t="inlineStr"/>
      <c r="T291" s="12" t="inlineStr"/>
      <c r="U291" s="5" t="inlineStr">
        <is>
          <t>Synthetic candidate data was reset after the test. Failures reflect observed 5xx responses or threshold overruns.</t>
        </is>
      </c>
    </row>
    <row r="292">
      <c r="A292" s="4" t="inlineStr">
        <is>
          <t>PERF-03-L5</t>
        </is>
      </c>
      <c r="B292" s="5" t="inlineStr">
        <is>
          <t>Performance and Reliability</t>
        </is>
      </c>
      <c r="C292" s="5" t="inlineStr">
        <is>
          <t>Save candidate profile</t>
        </is>
      </c>
      <c r="D292" s="5" t="inlineStr">
        <is>
          <t>Development Team</t>
        </is>
      </c>
      <c r="E292" s="5" t="inlineStr">
        <is>
          <t>High</t>
        </is>
      </c>
      <c r="F292" s="5" t="inlineStr">
        <is>
          <t>N/A</t>
        </is>
      </c>
      <c r="G292" s="5" t="inlineStr">
        <is>
          <t>5 concurrent users or requests</t>
        </is>
      </c>
      <c r="H292" s="5" t="inlineStr">
        <is>
          <t>Staging services healthy; test data isolated; timer and server logs available.</t>
        </is>
      </c>
      <c r="I292" s="5" t="inlineStr">
        <is>
          <t>Measure Save candidate profile under 5 concurrent users or requests.</t>
        </is>
      </c>
      <c r="J292" s="5" t="inlineStr">
        <is>
          <t>Run the prepared operation with the stated load; record successes, failures, p50/p95 where multiple requests are used, 5xx responses and recovery behaviour; verify final data integrity.</t>
        </is>
      </c>
      <c r="K292" s="5" t="inlineStr">
        <is>
          <t>One validated update persists. Non-AI p95 &lt;1 s, scoring p95 &lt;2 s, voice p95 &lt;10 s, AI suggestions p95 &lt;30 s where applicable; &lt;1% 5xx.</t>
        </is>
      </c>
      <c r="L292" s="5" t="inlineStr">
        <is>
          <t>8/15 requests returned successfully, with 7 server errors; p50=800.9 ms and p95=2635.9 ms versus the 3000 ms target.</t>
        </is>
      </c>
      <c r="M292" s="5" t="inlineStr">
        <is>
          <t>EV-PERF-003</t>
        </is>
      </c>
      <c r="N292" s="5" t="inlineStr">
        <is>
          <t>Fail</t>
        </is>
      </c>
      <c r="O292" s="5" t="inlineStr"/>
      <c r="P292" s="10" t="inlineStr"/>
      <c r="Q292" s="11" t="n">
        <v>2635.9</v>
      </c>
      <c r="R292" s="12" t="n">
        <v>46275</v>
      </c>
      <c r="S292" s="5" t="inlineStr"/>
      <c r="T292" s="12" t="inlineStr"/>
      <c r="U292" s="5" t="inlineStr">
        <is>
          <t>Synthetic candidate data was reset after the test. Failures reflect observed 5xx responses or threshold overruns.</t>
        </is>
      </c>
    </row>
    <row r="293">
      <c r="A293" s="4" t="inlineStr">
        <is>
          <t>PERF-03-L10</t>
        </is>
      </c>
      <c r="B293" s="5" t="inlineStr">
        <is>
          <t>Performance and Reliability</t>
        </is>
      </c>
      <c r="C293" s="5" t="inlineStr">
        <is>
          <t>Save candidate profile</t>
        </is>
      </c>
      <c r="D293" s="5" t="inlineStr">
        <is>
          <t>Development Team</t>
        </is>
      </c>
      <c r="E293" s="5" t="inlineStr">
        <is>
          <t>High</t>
        </is>
      </c>
      <c r="F293" s="5" t="inlineStr">
        <is>
          <t>N/A</t>
        </is>
      </c>
      <c r="G293" s="5" t="inlineStr">
        <is>
          <t>10 concurrent users or throttled network</t>
        </is>
      </c>
      <c r="H293" s="5" t="inlineStr">
        <is>
          <t>Staging services healthy; test data isolated; timer and server logs available.</t>
        </is>
      </c>
      <c r="I293" s="5" t="inlineStr">
        <is>
          <t>Measure Save candidate profile under 10 concurrent users or throttled network.</t>
        </is>
      </c>
      <c r="J293" s="5" t="inlineStr">
        <is>
          <t>Run the prepared operation with the stated load; record successes, failures, p50/p95 where multiple requests are used, 5xx responses and recovery behaviour; verify final data integrity.</t>
        </is>
      </c>
      <c r="K293" s="5" t="inlineStr">
        <is>
          <t>One validated update persists. Non-AI p95 &lt;1 s, scoring p95 &lt;2 s, voice p95 &lt;10 s, AI suggestions p95 &lt;30 s where applicable; &lt;1% 5xx.</t>
        </is>
      </c>
      <c r="L293" s="5" t="inlineStr">
        <is>
          <t>12/30 requests returned successfully, with 18 server errors; p50=2261.2 ms and p95=3624 ms versus the 5000 ms target.</t>
        </is>
      </c>
      <c r="M293" s="5" t="inlineStr">
        <is>
          <t>EV-PERF-003</t>
        </is>
      </c>
      <c r="N293" s="5" t="inlineStr">
        <is>
          <t>Fail</t>
        </is>
      </c>
      <c r="O293" s="5" t="inlineStr"/>
      <c r="P293" s="10" t="inlineStr"/>
      <c r="Q293" s="11" t="n">
        <v>3624</v>
      </c>
      <c r="R293" s="12" t="n">
        <v>46275</v>
      </c>
      <c r="S293" s="5" t="inlineStr"/>
      <c r="T293" s="12" t="inlineStr"/>
      <c r="U293" s="5" t="inlineStr">
        <is>
          <t>Synthetic candidate data was reset after the test. Failures reflect observed 5xx responses or threshold overruns.</t>
        </is>
      </c>
    </row>
    <row r="294">
      <c r="A294" s="4" t="inlineStr">
        <is>
          <t>PERF-04-L1</t>
        </is>
      </c>
      <c r="B294" s="5" t="inlineStr">
        <is>
          <t>Performance and Reliability</t>
        </is>
      </c>
      <c r="C294" s="5" t="inlineStr">
        <is>
          <t>Generate AI suggestions</t>
        </is>
      </c>
      <c r="D294" s="5" t="inlineStr">
        <is>
          <t>Development Team</t>
        </is>
      </c>
      <c r="E294" s="5" t="inlineStr">
        <is>
          <t>High</t>
        </is>
      </c>
      <c r="F294" s="5" t="inlineStr">
        <is>
          <t>N/A</t>
        </is>
      </c>
      <c r="G294" s="5" t="inlineStr">
        <is>
          <t>1 user / normal network</t>
        </is>
      </c>
      <c r="H294" s="5" t="inlineStr">
        <is>
          <t>Staging services healthy; test data isolated; timer and server logs available.</t>
        </is>
      </c>
      <c r="I294" s="5" t="inlineStr">
        <is>
          <t>Measure Generate AI suggestions under 1 user / normal network.</t>
        </is>
      </c>
      <c r="J294" s="5" t="inlineStr">
        <is>
          <t>Run the prepared operation with the stated load; record successes, failures, p50/p95 where multiple requests are used, 5xx responses and recovery behaviour; verify final data integrity.</t>
        </is>
      </c>
      <c r="K294" s="5" t="inlineStr">
        <is>
          <t>Structured reviewable suggestions return without premature save. Non-AI p95 &lt;1 s, scoring p95 &lt;2 s, voice p95 &lt;10 s, AI suggestions p95 &lt;30 s where applicable; &lt;1% 5xx.</t>
        </is>
      </c>
      <c r="L294" s="5" t="inlineStr">
        <is>
          <t>0/3 requests returned structured suggestions; HTTP statuses={'503': 3}; p50=461.1 ms and p95=547.7 ms. A post-run probe confirmed API health HTTP 200 but the upstream AI path still returned HTTP 503, so inference latency could not be evaluated.</t>
        </is>
      </c>
      <c r="M294" s="5" t="inlineStr">
        <is>
          <t>EV-PERF-004</t>
        </is>
      </c>
      <c r="N294" s="5" t="inlineStr">
        <is>
          <t>Blocked</t>
        </is>
      </c>
      <c r="O294" s="5" t="inlineStr"/>
      <c r="P294" s="10" t="inlineStr"/>
      <c r="Q294" s="11" t="n">
        <v>547.7</v>
      </c>
      <c r="R294" s="12" t="n">
        <v>46275</v>
      </c>
      <c r="S294" s="5" t="inlineStr"/>
      <c r="T294" s="12" t="inlineStr"/>
      <c r="U294" s="5" t="inlineStr">
        <is>
          <t>Excluded from executed performance rates because the deployed upstream AI dependency was unavailable during and after the run.</t>
        </is>
      </c>
    </row>
    <row r="295">
      <c r="A295" s="4" t="inlineStr">
        <is>
          <t>PERF-04-L5</t>
        </is>
      </c>
      <c r="B295" s="5" t="inlineStr">
        <is>
          <t>Performance and Reliability</t>
        </is>
      </c>
      <c r="C295" s="5" t="inlineStr">
        <is>
          <t>Generate AI suggestions</t>
        </is>
      </c>
      <c r="D295" s="5" t="inlineStr">
        <is>
          <t>Development Team</t>
        </is>
      </c>
      <c r="E295" s="5" t="inlineStr">
        <is>
          <t>High</t>
        </is>
      </c>
      <c r="F295" s="5" t="inlineStr">
        <is>
          <t>N/A</t>
        </is>
      </c>
      <c r="G295" s="5" t="inlineStr">
        <is>
          <t>5 concurrent users or requests</t>
        </is>
      </c>
      <c r="H295" s="5" t="inlineStr">
        <is>
          <t>Staging services healthy; test data isolated; timer and server logs available.</t>
        </is>
      </c>
      <c r="I295" s="5" t="inlineStr">
        <is>
          <t>Measure Generate AI suggestions under 5 concurrent users or requests.</t>
        </is>
      </c>
      <c r="J295" s="5" t="inlineStr">
        <is>
          <t>Run the prepared operation with the stated load; record successes, failures, p50/p95 where multiple requests are used, 5xx responses and recovery behaviour; verify final data integrity.</t>
        </is>
      </c>
      <c r="K295" s="5" t="inlineStr">
        <is>
          <t>Structured reviewable suggestions return without premature save. Non-AI p95 &lt;1 s, scoring p95 &lt;2 s, voice p95 &lt;10 s, AI suggestions p95 &lt;30 s where applicable; &lt;1% 5xx.</t>
        </is>
      </c>
      <c r="L295" s="5" t="inlineStr">
        <is>
          <t>0/15 requests returned structured suggestions; HTTP statuses={'503': 15}; p50=2589.2 ms and p95=3269.2 ms. A post-run probe confirmed API health HTTP 200 but the upstream AI path still returned HTTP 503, so inference latency could not be evaluated.</t>
        </is>
      </c>
      <c r="M295" s="5" t="inlineStr">
        <is>
          <t>EV-PERF-004</t>
        </is>
      </c>
      <c r="N295" s="5" t="inlineStr">
        <is>
          <t>Blocked</t>
        </is>
      </c>
      <c r="O295" s="5" t="inlineStr"/>
      <c r="P295" s="10" t="inlineStr"/>
      <c r="Q295" s="11" t="n">
        <v>3269.2</v>
      </c>
      <c r="R295" s="12" t="n">
        <v>46275</v>
      </c>
      <c r="S295" s="5" t="inlineStr"/>
      <c r="T295" s="12" t="inlineStr"/>
      <c r="U295" s="5" t="inlineStr">
        <is>
          <t>Excluded from executed performance rates because the deployed upstream AI dependency was unavailable during and after the run.</t>
        </is>
      </c>
    </row>
    <row r="296">
      <c r="A296" s="4" t="inlineStr">
        <is>
          <t>PERF-04-L10</t>
        </is>
      </c>
      <c r="B296" s="5" t="inlineStr">
        <is>
          <t>Performance and Reliability</t>
        </is>
      </c>
      <c r="C296" s="5" t="inlineStr">
        <is>
          <t>Generate AI suggestions</t>
        </is>
      </c>
      <c r="D296" s="5" t="inlineStr">
        <is>
          <t>Development Team</t>
        </is>
      </c>
      <c r="E296" s="5" t="inlineStr">
        <is>
          <t>High</t>
        </is>
      </c>
      <c r="F296" s="5" t="inlineStr">
        <is>
          <t>N/A</t>
        </is>
      </c>
      <c r="G296" s="5" t="inlineStr">
        <is>
          <t>10 concurrent users or throttled network</t>
        </is>
      </c>
      <c r="H296" s="5" t="inlineStr">
        <is>
          <t>Staging services healthy; test data isolated; timer and server logs available.</t>
        </is>
      </c>
      <c r="I296" s="5" t="inlineStr">
        <is>
          <t>Measure Generate AI suggestions under 10 concurrent users or throttled network.</t>
        </is>
      </c>
      <c r="J296" s="5" t="inlineStr">
        <is>
          <t>Run the prepared operation with the stated load; record successes, failures, p50/p95 where multiple requests are used, 5xx responses and recovery behaviour; verify final data integrity.</t>
        </is>
      </c>
      <c r="K296" s="5" t="inlineStr">
        <is>
          <t>Structured reviewable suggestions return without premature save. Non-AI p95 &lt;1 s, scoring p95 &lt;2 s, voice p95 &lt;10 s, AI suggestions p95 &lt;30 s where applicable; &lt;1% 5xx.</t>
        </is>
      </c>
      <c r="L296" s="5" t="inlineStr">
        <is>
          <t>0/30 requests returned structured suggestions; HTTP statuses={'503': 30}; p50=5689.5 ms and p95=6204.5 ms. A post-run probe confirmed API health HTTP 200 but the upstream AI path still returned HTTP 503, so inference latency could not be evaluated.</t>
        </is>
      </c>
      <c r="M296" s="5" t="inlineStr">
        <is>
          <t>EV-PERF-004</t>
        </is>
      </c>
      <c r="N296" s="5" t="inlineStr">
        <is>
          <t>Blocked</t>
        </is>
      </c>
      <c r="O296" s="5" t="inlineStr"/>
      <c r="P296" s="10" t="inlineStr"/>
      <c r="Q296" s="11" t="n">
        <v>6204.5</v>
      </c>
      <c r="R296" s="12" t="n">
        <v>46275</v>
      </c>
      <c r="S296" s="5" t="inlineStr"/>
      <c r="T296" s="12" t="inlineStr"/>
      <c r="U296" s="5" t="inlineStr">
        <is>
          <t>Excluded from executed performance rates because the deployed upstream AI dependency was unavailable during and after the run.</t>
        </is>
      </c>
    </row>
    <row r="297">
      <c r="A297" s="4" t="inlineStr">
        <is>
          <t>PERF-05-L1</t>
        </is>
      </c>
      <c r="B297" s="5" t="inlineStr">
        <is>
          <t>Performance and Reliability</t>
        </is>
      </c>
      <c r="C297" s="5" t="inlineStr">
        <is>
          <t>Process voice command</t>
        </is>
      </c>
      <c r="D297" s="5" t="inlineStr">
        <is>
          <t>Development Team</t>
        </is>
      </c>
      <c r="E297" s="5" t="inlineStr">
        <is>
          <t>High</t>
        </is>
      </c>
      <c r="F297" s="5" t="inlineStr">
        <is>
          <t>N/A</t>
        </is>
      </c>
      <c r="G297" s="5" t="inlineStr">
        <is>
          <t>1 user / normal network</t>
        </is>
      </c>
      <c r="H297" s="5" t="inlineStr">
        <is>
          <t>Staging services healthy; test data isolated; timer and server logs available.</t>
        </is>
      </c>
      <c r="I297" s="5" t="inlineStr">
        <is>
          <t>Measure Process voice command under 1 user / normal network.</t>
        </is>
      </c>
      <c r="J297" s="5" t="inlineStr">
        <is>
          <t>Run the prepared operation with the stated load; record successes, failures, p50/p95 where multiple requests are used, 5xx responses and recovery behaviour; verify final data integrity.</t>
        </is>
      </c>
      <c r="K297" s="5" t="inlineStr">
        <is>
          <t>Authorized feedback/action returns. Non-AI p95 &lt;1 s, scoring p95 &lt;2 s, voice p95 &lt;10 s, AI suggestions p95 &lt;30 s where applicable; &lt;1% 5xx.</t>
        </is>
      </c>
      <c r="L297" s="5" t="inlineStr"/>
      <c r="M297" s="5" t="inlineStr"/>
      <c r="N297" s="5" t="inlineStr"/>
      <c r="O297" s="5" t="inlineStr"/>
      <c r="P297" s="10" t="inlineStr"/>
      <c r="Q297" s="11" t="inlineStr"/>
      <c r="R297" s="12" t="inlineStr"/>
      <c r="S297" s="5" t="inlineStr"/>
      <c r="T297" s="12" t="inlineStr"/>
      <c r="U297" s="5" t="inlineStr"/>
    </row>
    <row r="298">
      <c r="A298" s="4" t="inlineStr">
        <is>
          <t>PERF-05-L5</t>
        </is>
      </c>
      <c r="B298" s="5" t="inlineStr">
        <is>
          <t>Performance and Reliability</t>
        </is>
      </c>
      <c r="C298" s="5" t="inlineStr">
        <is>
          <t>Process voice command</t>
        </is>
      </c>
      <c r="D298" s="5" t="inlineStr">
        <is>
          <t>Development Team</t>
        </is>
      </c>
      <c r="E298" s="5" t="inlineStr">
        <is>
          <t>High</t>
        </is>
      </c>
      <c r="F298" s="5" t="inlineStr">
        <is>
          <t>N/A</t>
        </is>
      </c>
      <c r="G298" s="5" t="inlineStr">
        <is>
          <t>5 concurrent users or requests</t>
        </is>
      </c>
      <c r="H298" s="5" t="inlineStr">
        <is>
          <t>Staging services healthy; test data isolated; timer and server logs available.</t>
        </is>
      </c>
      <c r="I298" s="5" t="inlineStr">
        <is>
          <t>Measure Process voice command under 5 concurrent users or requests.</t>
        </is>
      </c>
      <c r="J298" s="5" t="inlineStr">
        <is>
          <t>Run the prepared operation with the stated load; record successes, failures, p50/p95 where multiple requests are used, 5xx responses and recovery behaviour; verify final data integrity.</t>
        </is>
      </c>
      <c r="K298" s="5" t="inlineStr">
        <is>
          <t>Authorized feedback/action returns. Non-AI p95 &lt;1 s, scoring p95 &lt;2 s, voice p95 &lt;10 s, AI suggestions p95 &lt;30 s where applicable; &lt;1% 5xx.</t>
        </is>
      </c>
      <c r="L298" s="5" t="inlineStr"/>
      <c r="M298" s="5" t="inlineStr"/>
      <c r="N298" s="5" t="inlineStr"/>
      <c r="O298" s="5" t="inlineStr"/>
      <c r="P298" s="10" t="inlineStr"/>
      <c r="Q298" s="11" t="inlineStr"/>
      <c r="R298" s="12" t="inlineStr"/>
      <c r="S298" s="5" t="inlineStr"/>
      <c r="T298" s="12" t="inlineStr"/>
      <c r="U298" s="5" t="inlineStr"/>
    </row>
    <row r="299">
      <c r="A299" s="4" t="inlineStr">
        <is>
          <t>PERF-05-L10</t>
        </is>
      </c>
      <c r="B299" s="5" t="inlineStr">
        <is>
          <t>Performance and Reliability</t>
        </is>
      </c>
      <c r="C299" s="5" t="inlineStr">
        <is>
          <t>Process voice command</t>
        </is>
      </c>
      <c r="D299" s="5" t="inlineStr">
        <is>
          <t>Development Team</t>
        </is>
      </c>
      <c r="E299" s="5" t="inlineStr">
        <is>
          <t>High</t>
        </is>
      </c>
      <c r="F299" s="5" t="inlineStr">
        <is>
          <t>N/A</t>
        </is>
      </c>
      <c r="G299" s="5" t="inlineStr">
        <is>
          <t>10 concurrent users or throttled network</t>
        </is>
      </c>
      <c r="H299" s="5" t="inlineStr">
        <is>
          <t>Staging services healthy; test data isolated; timer and server logs available.</t>
        </is>
      </c>
      <c r="I299" s="5" t="inlineStr">
        <is>
          <t>Measure Process voice command under 10 concurrent users or throttled network.</t>
        </is>
      </c>
      <c r="J299" s="5" t="inlineStr">
        <is>
          <t>Run the prepared operation with the stated load; record successes, failures, p50/p95 where multiple requests are used, 5xx responses and recovery behaviour; verify final data integrity.</t>
        </is>
      </c>
      <c r="K299" s="5" t="inlineStr">
        <is>
          <t>Authorized feedback/action returns. Non-AI p95 &lt;1 s, scoring p95 &lt;2 s, voice p95 &lt;10 s, AI suggestions p95 &lt;30 s where applicable; &lt;1% 5xx.</t>
        </is>
      </c>
      <c r="L299" s="5" t="inlineStr"/>
      <c r="M299" s="5" t="inlineStr"/>
      <c r="N299" s="5" t="inlineStr"/>
      <c r="O299" s="5" t="inlineStr"/>
      <c r="P299" s="10" t="inlineStr"/>
      <c r="Q299" s="11" t="inlineStr"/>
      <c r="R299" s="12" t="inlineStr"/>
      <c r="S299" s="5" t="inlineStr"/>
      <c r="T299" s="12" t="inlineStr"/>
      <c r="U299" s="5" t="inlineStr"/>
    </row>
    <row r="300">
      <c r="A300" s="4" t="inlineStr">
        <is>
          <t>PERF-06-L1</t>
        </is>
      </c>
      <c r="B300" s="5" t="inlineStr">
        <is>
          <t>Performance and Reliability</t>
        </is>
      </c>
      <c r="C300" s="5" t="inlineStr">
        <is>
          <t>Calculate matching</t>
        </is>
      </c>
      <c r="D300" s="5" t="inlineStr">
        <is>
          <t>Development Team</t>
        </is>
      </c>
      <c r="E300" s="5" t="inlineStr">
        <is>
          <t>High</t>
        </is>
      </c>
      <c r="F300" s="5" t="inlineStr">
        <is>
          <t>N/A</t>
        </is>
      </c>
      <c r="G300" s="5" t="inlineStr">
        <is>
          <t>1 user / normal network</t>
        </is>
      </c>
      <c r="H300" s="5" t="inlineStr">
        <is>
          <t>Staging services healthy; test data isolated; timer and server logs available.</t>
        </is>
      </c>
      <c r="I300" s="5" t="inlineStr">
        <is>
          <t>Measure Calculate matching under 1 user / normal network.</t>
        </is>
      </c>
      <c r="J300" s="5" t="inlineStr">
        <is>
          <t>Run the prepared operation with the stated load; record successes, failures, p50/p95 where multiple requests are used, 5xx responses and recovery behaviour; verify final data integrity.</t>
        </is>
      </c>
      <c r="K300" s="5" t="inlineStr">
        <is>
          <t>Deterministic score and explanation return. Non-AI p95 &lt;1 s, scoring p95 &lt;2 s, voice p95 &lt;10 s, AI suggestions p95 &lt;30 s where applicable; &lt;1% 5xx.</t>
        </is>
      </c>
      <c r="L300" s="5" t="inlineStr">
        <is>
          <t>3/3 requests returned successfully, with 0 server errors; p50=664.8 ms and p95=752 ms versus the 1000 ms target.</t>
        </is>
      </c>
      <c r="M300" s="5" t="inlineStr">
        <is>
          <t>EV-PERF-003</t>
        </is>
      </c>
      <c r="N300" s="5" t="inlineStr">
        <is>
          <t>Pass</t>
        </is>
      </c>
      <c r="O300" s="5" t="inlineStr"/>
      <c r="P300" s="10" t="inlineStr"/>
      <c r="Q300" s="11" t="n">
        <v>752</v>
      </c>
      <c r="R300" s="12" t="n">
        <v>46275</v>
      </c>
      <c r="S300" s="5" t="inlineStr"/>
      <c r="T300" s="12" t="inlineStr"/>
      <c r="U300" s="5" t="inlineStr">
        <is>
          <t>Synthetic candidate data was reset after the test. Failures reflect observed 5xx responses or threshold overruns.</t>
        </is>
      </c>
    </row>
    <row r="301">
      <c r="A301" s="4" t="inlineStr">
        <is>
          <t>PERF-06-L5</t>
        </is>
      </c>
      <c r="B301" s="5" t="inlineStr">
        <is>
          <t>Performance and Reliability</t>
        </is>
      </c>
      <c r="C301" s="5" t="inlineStr">
        <is>
          <t>Calculate matching</t>
        </is>
      </c>
      <c r="D301" s="5" t="inlineStr">
        <is>
          <t>Development Team</t>
        </is>
      </c>
      <c r="E301" s="5" t="inlineStr">
        <is>
          <t>High</t>
        </is>
      </c>
      <c r="F301" s="5" t="inlineStr">
        <is>
          <t>N/A</t>
        </is>
      </c>
      <c r="G301" s="5" t="inlineStr">
        <is>
          <t>5 concurrent users or requests</t>
        </is>
      </c>
      <c r="H301" s="5" t="inlineStr">
        <is>
          <t>Staging services healthy; test data isolated; timer and server logs available.</t>
        </is>
      </c>
      <c r="I301" s="5" t="inlineStr">
        <is>
          <t>Measure Calculate matching under 5 concurrent users or requests.</t>
        </is>
      </c>
      <c r="J301" s="5" t="inlineStr">
        <is>
          <t>Run the prepared operation with the stated load; record successes, failures, p50/p95 where multiple requests are used, 5xx responses and recovery behaviour; verify final data integrity.</t>
        </is>
      </c>
      <c r="K301" s="5" t="inlineStr">
        <is>
          <t>Deterministic score and explanation return. Non-AI p95 &lt;1 s, scoring p95 &lt;2 s, voice p95 &lt;10 s, AI suggestions p95 &lt;30 s where applicable; &lt;1% 5xx.</t>
        </is>
      </c>
      <c r="L301" s="5" t="inlineStr">
        <is>
          <t>15/15 requests returned successfully, with 0 server errors; p50=2528.4 ms and p95=2804 ms versus the 3000 ms target.</t>
        </is>
      </c>
      <c r="M301" s="5" t="inlineStr">
        <is>
          <t>EV-PERF-003</t>
        </is>
      </c>
      <c r="N301" s="5" t="inlineStr">
        <is>
          <t>Pass</t>
        </is>
      </c>
      <c r="O301" s="5" t="inlineStr"/>
      <c r="P301" s="10" t="inlineStr"/>
      <c r="Q301" s="11" t="n">
        <v>2804</v>
      </c>
      <c r="R301" s="12" t="n">
        <v>46275</v>
      </c>
      <c r="S301" s="5" t="inlineStr"/>
      <c r="T301" s="12" t="inlineStr"/>
      <c r="U301" s="5" t="inlineStr">
        <is>
          <t>Synthetic candidate data was reset after the test. Failures reflect observed 5xx responses or threshold overruns.</t>
        </is>
      </c>
    </row>
    <row r="302">
      <c r="A302" s="4" t="inlineStr">
        <is>
          <t>PERF-06-L10</t>
        </is>
      </c>
      <c r="B302" s="5" t="inlineStr">
        <is>
          <t>Performance and Reliability</t>
        </is>
      </c>
      <c r="C302" s="5" t="inlineStr">
        <is>
          <t>Calculate matching</t>
        </is>
      </c>
      <c r="D302" s="5" t="inlineStr">
        <is>
          <t>Development Team</t>
        </is>
      </c>
      <c r="E302" s="5" t="inlineStr">
        <is>
          <t>High</t>
        </is>
      </c>
      <c r="F302" s="5" t="inlineStr">
        <is>
          <t>N/A</t>
        </is>
      </c>
      <c r="G302" s="5" t="inlineStr">
        <is>
          <t>10 concurrent users or throttled network</t>
        </is>
      </c>
      <c r="H302" s="5" t="inlineStr">
        <is>
          <t>Staging services healthy; test data isolated; timer and server logs available.</t>
        </is>
      </c>
      <c r="I302" s="5" t="inlineStr">
        <is>
          <t>Measure Calculate matching under 10 concurrent users or throttled network.</t>
        </is>
      </c>
      <c r="J302" s="5" t="inlineStr">
        <is>
          <t>Run the prepared operation with the stated load; record successes, failures, p50/p95 where multiple requests are used, 5xx responses and recovery behaviour; verify final data integrity.</t>
        </is>
      </c>
      <c r="K302" s="5" t="inlineStr">
        <is>
          <t>Deterministic score and explanation return. Non-AI p95 &lt;1 s, scoring p95 &lt;2 s, voice p95 &lt;10 s, AI suggestions p95 &lt;30 s where applicable; &lt;1% 5xx.</t>
        </is>
      </c>
      <c r="L302" s="5" t="inlineStr">
        <is>
          <t>30/30 requests returned successfully, with 0 server errors; p50=4854.4 ms and p95=5293.4 ms versus the 5000 ms target.</t>
        </is>
      </c>
      <c r="M302" s="5" t="inlineStr">
        <is>
          <t>EV-PERF-003</t>
        </is>
      </c>
      <c r="N302" s="5" t="inlineStr">
        <is>
          <t>Fail</t>
        </is>
      </c>
      <c r="O302" s="5" t="inlineStr"/>
      <c r="P302" s="10" t="inlineStr"/>
      <c r="Q302" s="11" t="n">
        <v>5293.4</v>
      </c>
      <c r="R302" s="12" t="n">
        <v>46275</v>
      </c>
      <c r="S302" s="5" t="inlineStr"/>
      <c r="T302" s="12" t="inlineStr"/>
      <c r="U302" s="5" t="inlineStr">
        <is>
          <t>Synthetic candidate data was reset after the test. Failures reflect observed 5xx responses or threshold overruns.</t>
        </is>
      </c>
    </row>
    <row r="303">
      <c r="A303" s="4" t="inlineStr">
        <is>
          <t>PERF-07-L1</t>
        </is>
      </c>
      <c r="B303" s="5" t="inlineStr">
        <is>
          <t>Performance and Reliability</t>
        </is>
      </c>
      <c r="C303" s="5" t="inlineStr">
        <is>
          <t>Load published opportunities</t>
        </is>
      </c>
      <c r="D303" s="5" t="inlineStr">
        <is>
          <t>Development Team</t>
        </is>
      </c>
      <c r="E303" s="5" t="inlineStr">
        <is>
          <t>High</t>
        </is>
      </c>
      <c r="F303" s="5" t="inlineStr">
        <is>
          <t>N/A</t>
        </is>
      </c>
      <c r="G303" s="5" t="inlineStr">
        <is>
          <t>1 user / normal network</t>
        </is>
      </c>
      <c r="H303" s="5" t="inlineStr">
        <is>
          <t>Staging services healthy; test data isolated; timer and server logs available.</t>
        </is>
      </c>
      <c r="I303" s="5" t="inlineStr">
        <is>
          <t>Measure Load published opportunities under 1 user / normal network.</t>
        </is>
      </c>
      <c r="J303" s="5" t="inlineStr">
        <is>
          <t>Run the prepared operation with the stated load; record successes, failures, p50/p95 where multiple requests are used, 5xx responses and recovery behaviour; verify final data integrity.</t>
        </is>
      </c>
      <c r="K303" s="5" t="inlineStr">
        <is>
          <t>Paginated/list data returns correctly. Non-AI p95 &lt;1 s, scoring p95 &lt;2 s, voice p95 &lt;10 s, AI suggestions p95 &lt;30 s where applicable; &lt;1% 5xx.</t>
        </is>
      </c>
      <c r="L303" s="5" t="inlineStr">
        <is>
          <t>3/3 requests returned successfully with 0 server errors; p50=1278.7 ms and p95=1311.7 ms versus the 1000 ms target. A separate five-sample baseline measured p95=1583.3 ms against the project API target.</t>
        </is>
      </c>
      <c r="M303" s="5" t="inlineStr">
        <is>
          <t>EV-PERF-001, EV-PERF-002</t>
        </is>
      </c>
      <c r="N303" s="5" t="inlineStr">
        <is>
          <t>Fail</t>
        </is>
      </c>
      <c r="O303" s="5" t="inlineStr"/>
      <c r="P303" s="10" t="inlineStr"/>
      <c r="Q303" s="11" t="n">
        <v>1311.7</v>
      </c>
      <c r="R303" s="12" t="n">
        <v>46275</v>
      </c>
      <c r="S303" s="5" t="inlineStr"/>
      <c r="T303" s="12" t="inlineStr"/>
      <c r="U303" s="5" t="inlineStr">
        <is>
          <t>Correct HTTP outputs were returned; status reflects latency only.</t>
        </is>
      </c>
    </row>
    <row r="304">
      <c r="A304" s="4" t="inlineStr">
        <is>
          <t>PERF-07-L5</t>
        </is>
      </c>
      <c r="B304" s="5" t="inlineStr">
        <is>
          <t>Performance and Reliability</t>
        </is>
      </c>
      <c r="C304" s="5" t="inlineStr">
        <is>
          <t>Load published opportunities</t>
        </is>
      </c>
      <c r="D304" s="5" t="inlineStr">
        <is>
          <t>Development Team</t>
        </is>
      </c>
      <c r="E304" s="5" t="inlineStr">
        <is>
          <t>High</t>
        </is>
      </c>
      <c r="F304" s="5" t="inlineStr">
        <is>
          <t>N/A</t>
        </is>
      </c>
      <c r="G304" s="5" t="inlineStr">
        <is>
          <t>5 concurrent users or requests</t>
        </is>
      </c>
      <c r="H304" s="5" t="inlineStr">
        <is>
          <t>Staging services healthy; test data isolated; timer and server logs available.</t>
        </is>
      </c>
      <c r="I304" s="5" t="inlineStr">
        <is>
          <t>Measure Load published opportunities under 5 concurrent users or requests.</t>
        </is>
      </c>
      <c r="J304" s="5" t="inlineStr">
        <is>
          <t>Run the prepared operation with the stated load; record successes, failures, p50/p95 where multiple requests are used, 5xx responses and recovery behaviour; verify final data integrity.</t>
        </is>
      </c>
      <c r="K304" s="5" t="inlineStr">
        <is>
          <t>Paginated/list data returns correctly. Non-AI p95 &lt;1 s, scoring p95 &lt;2 s, voice p95 &lt;10 s, AI suggestions p95 &lt;30 s where applicable; &lt;1% 5xx.</t>
        </is>
      </c>
      <c r="L304" s="5" t="inlineStr">
        <is>
          <t>15/15 requests returned successfully with 0 server errors; p50=4418.3 ms and p95=4949.6 ms versus the 3000 ms target.</t>
        </is>
      </c>
      <c r="M304" s="5" t="inlineStr">
        <is>
          <t>EV-PERF-001, EV-PERF-002</t>
        </is>
      </c>
      <c r="N304" s="5" t="inlineStr">
        <is>
          <t>Fail</t>
        </is>
      </c>
      <c r="O304" s="5" t="inlineStr"/>
      <c r="P304" s="10" t="inlineStr"/>
      <c r="Q304" s="11" t="n">
        <v>4949.6</v>
      </c>
      <c r="R304" s="12" t="n">
        <v>46275</v>
      </c>
      <c r="S304" s="5" t="inlineStr"/>
      <c r="T304" s="12" t="inlineStr"/>
      <c r="U304" s="5" t="inlineStr">
        <is>
          <t>Correct HTTP outputs were returned; status reflects latency only.</t>
        </is>
      </c>
    </row>
    <row r="305">
      <c r="A305" s="4" t="inlineStr">
        <is>
          <t>PERF-07-L10</t>
        </is>
      </c>
      <c r="B305" s="5" t="inlineStr">
        <is>
          <t>Performance and Reliability</t>
        </is>
      </c>
      <c r="C305" s="5" t="inlineStr">
        <is>
          <t>Load published opportunities</t>
        </is>
      </c>
      <c r="D305" s="5" t="inlineStr">
        <is>
          <t>Development Team</t>
        </is>
      </c>
      <c r="E305" s="5" t="inlineStr">
        <is>
          <t>High</t>
        </is>
      </c>
      <c r="F305" s="5" t="inlineStr">
        <is>
          <t>N/A</t>
        </is>
      </c>
      <c r="G305" s="5" t="inlineStr">
        <is>
          <t>10 concurrent users or throttled network</t>
        </is>
      </c>
      <c r="H305" s="5" t="inlineStr">
        <is>
          <t>Staging services healthy; test data isolated; timer and server logs available.</t>
        </is>
      </c>
      <c r="I305" s="5" t="inlineStr">
        <is>
          <t>Measure Load published opportunities under 10 concurrent users or throttled network.</t>
        </is>
      </c>
      <c r="J305" s="5" t="inlineStr">
        <is>
          <t>Run the prepared operation with the stated load; record successes, failures, p50/p95 where multiple requests are used, 5xx responses and recovery behaviour; verify final data integrity.</t>
        </is>
      </c>
      <c r="K305" s="5" t="inlineStr">
        <is>
          <t>Paginated/list data returns correctly. Non-AI p95 &lt;1 s, scoring p95 &lt;2 s, voice p95 &lt;10 s, AI suggestions p95 &lt;30 s where applicable; &lt;1% 5xx.</t>
        </is>
      </c>
      <c r="L305" s="5" t="inlineStr">
        <is>
          <t>30/30 requests returned successfully with 0 server errors; p50=9174.1 ms and p95=9803.8 ms versus the 5000 ms target.</t>
        </is>
      </c>
      <c r="M305" s="5" t="inlineStr">
        <is>
          <t>EV-PERF-001, EV-PERF-002</t>
        </is>
      </c>
      <c r="N305" s="5" t="inlineStr">
        <is>
          <t>Fail</t>
        </is>
      </c>
      <c r="O305" s="5" t="inlineStr"/>
      <c r="P305" s="10" t="inlineStr"/>
      <c r="Q305" s="11" t="n">
        <v>9803.799999999999</v>
      </c>
      <c r="R305" s="12" t="n">
        <v>46275</v>
      </c>
      <c r="S305" s="5" t="inlineStr"/>
      <c r="T305" s="12" t="inlineStr"/>
      <c r="U305" s="5" t="inlineStr">
        <is>
          <t>Correct HTTP outputs were returned; status reflects latency only.</t>
        </is>
      </c>
    </row>
    <row r="306">
      <c r="A306" s="4" t="inlineStr">
        <is>
          <t>PERF-08-L1</t>
        </is>
      </c>
      <c r="B306" s="5" t="inlineStr">
        <is>
          <t>Performance and Reliability</t>
        </is>
      </c>
      <c r="C306" s="5" t="inlineStr">
        <is>
          <t>Publish opportunity</t>
        </is>
      </c>
      <c r="D306" s="5" t="inlineStr">
        <is>
          <t>Development Team</t>
        </is>
      </c>
      <c r="E306" s="5" t="inlineStr">
        <is>
          <t>High</t>
        </is>
      </c>
      <c r="F306" s="5" t="inlineStr">
        <is>
          <t>N/A</t>
        </is>
      </c>
      <c r="G306" s="5" t="inlineStr">
        <is>
          <t>1 user / normal network</t>
        </is>
      </c>
      <c r="H306" s="5" t="inlineStr">
        <is>
          <t>Staging services healthy; test data isolated; timer and server logs available.</t>
        </is>
      </c>
      <c r="I306" s="5" t="inlineStr">
        <is>
          <t>Measure Publish opportunity under 1 user / normal network.</t>
        </is>
      </c>
      <c r="J306" s="5" t="inlineStr">
        <is>
          <t>Run the prepared operation with the stated load; record successes, failures, p50/p95 where multiple requests are used, 5xx responses and recovery behaviour; verify final data integrity.</t>
        </is>
      </c>
      <c r="K306" s="5" t="inlineStr">
        <is>
          <t>One valid opportunity persists. Non-AI p95 &lt;1 s, scoring p95 &lt;2 s, voice p95 &lt;10 s, AI suggestions p95 &lt;30 s where applicable; &lt;1% 5xx.</t>
        </is>
      </c>
      <c r="L306" s="5" t="inlineStr">
        <is>
          <t>3/3 isolated mutations returned the expected HTTP 201 with 0 server errors; p50=195.3 ms and p95=233.1 ms versus the 1000 ms target.</t>
        </is>
      </c>
      <c r="M306" s="5" t="inlineStr">
        <is>
          <t>EV-PERF-005</t>
        </is>
      </c>
      <c r="N306" s="5" t="inlineStr">
        <is>
          <t>Pass</t>
        </is>
      </c>
      <c r="O306" s="5" t="inlineStr"/>
      <c r="P306" s="10" t="inlineStr"/>
      <c r="Q306" s="11" t="n">
        <v>233.1</v>
      </c>
      <c r="R306" s="12" t="n">
        <v>46275</v>
      </c>
      <c r="S306" s="5" t="inlineStr"/>
      <c r="T306" s="12" t="inlineStr"/>
      <c r="U306" s="5" t="inlineStr">
        <is>
          <t>All functional outputs succeeded; Fail indicates only that the strict latency target was exceeded. All created records were deleted.</t>
        </is>
      </c>
    </row>
    <row r="307">
      <c r="A307" s="4" t="inlineStr">
        <is>
          <t>PERF-08-L5</t>
        </is>
      </c>
      <c r="B307" s="5" t="inlineStr">
        <is>
          <t>Performance and Reliability</t>
        </is>
      </c>
      <c r="C307" s="5" t="inlineStr">
        <is>
          <t>Publish opportunity</t>
        </is>
      </c>
      <c r="D307" s="5" t="inlineStr">
        <is>
          <t>Development Team</t>
        </is>
      </c>
      <c r="E307" s="5" t="inlineStr">
        <is>
          <t>High</t>
        </is>
      </c>
      <c r="F307" s="5" t="inlineStr">
        <is>
          <t>N/A</t>
        </is>
      </c>
      <c r="G307" s="5" t="inlineStr">
        <is>
          <t>5 concurrent users or requests</t>
        </is>
      </c>
      <c r="H307" s="5" t="inlineStr">
        <is>
          <t>Staging services healthy; test data isolated; timer and server logs available.</t>
        </is>
      </c>
      <c r="I307" s="5" t="inlineStr">
        <is>
          <t>Measure Publish opportunity under 5 concurrent users or requests.</t>
        </is>
      </c>
      <c r="J307" s="5" t="inlineStr">
        <is>
          <t>Run the prepared operation with the stated load; record successes, failures, p50/p95 where multiple requests are used, 5xx responses and recovery behaviour; verify final data integrity.</t>
        </is>
      </c>
      <c r="K307" s="5" t="inlineStr">
        <is>
          <t>One valid opportunity persists. Non-AI p95 &lt;1 s, scoring p95 &lt;2 s, voice p95 &lt;10 s, AI suggestions p95 &lt;30 s where applicable; &lt;1% 5xx.</t>
        </is>
      </c>
      <c r="L307" s="5" t="inlineStr">
        <is>
          <t>15/15 isolated mutations returned the expected HTTP 201 with 0 server errors; p50=674.8 ms and p95=700.4 ms versus the 1000 ms target.</t>
        </is>
      </c>
      <c r="M307" s="5" t="inlineStr">
        <is>
          <t>EV-PERF-005</t>
        </is>
      </c>
      <c r="N307" s="5" t="inlineStr">
        <is>
          <t>Pass</t>
        </is>
      </c>
      <c r="O307" s="5" t="inlineStr"/>
      <c r="P307" s="10" t="inlineStr"/>
      <c r="Q307" s="11" t="n">
        <v>700.4</v>
      </c>
      <c r="R307" s="12" t="n">
        <v>46275</v>
      </c>
      <c r="S307" s="5" t="inlineStr"/>
      <c r="T307" s="12" t="inlineStr"/>
      <c r="U307" s="5" t="inlineStr">
        <is>
          <t>All functional outputs succeeded; Fail indicates only that the strict latency target was exceeded. All created records were deleted.</t>
        </is>
      </c>
    </row>
    <row r="308">
      <c r="A308" s="4" t="inlineStr">
        <is>
          <t>PERF-08-L10</t>
        </is>
      </c>
      <c r="B308" s="5" t="inlineStr">
        <is>
          <t>Performance and Reliability</t>
        </is>
      </c>
      <c r="C308" s="5" t="inlineStr">
        <is>
          <t>Publish opportunity</t>
        </is>
      </c>
      <c r="D308" s="5" t="inlineStr">
        <is>
          <t>Development Team</t>
        </is>
      </c>
      <c r="E308" s="5" t="inlineStr">
        <is>
          <t>High</t>
        </is>
      </c>
      <c r="F308" s="5" t="inlineStr">
        <is>
          <t>N/A</t>
        </is>
      </c>
      <c r="G308" s="5" t="inlineStr">
        <is>
          <t>10 concurrent users or throttled network</t>
        </is>
      </c>
      <c r="H308" s="5" t="inlineStr">
        <is>
          <t>Staging services healthy; test data isolated; timer and server logs available.</t>
        </is>
      </c>
      <c r="I308" s="5" t="inlineStr">
        <is>
          <t>Measure Publish opportunity under 10 concurrent users or throttled network.</t>
        </is>
      </c>
      <c r="J308" s="5" t="inlineStr">
        <is>
          <t>Run the prepared operation with the stated load; record successes, failures, p50/p95 where multiple requests are used, 5xx responses and recovery behaviour; verify final data integrity.</t>
        </is>
      </c>
      <c r="K308" s="5" t="inlineStr">
        <is>
          <t>One valid opportunity persists. Non-AI p95 &lt;1 s, scoring p95 &lt;2 s, voice p95 &lt;10 s, AI suggestions p95 &lt;30 s where applicable; &lt;1% 5xx.</t>
        </is>
      </c>
      <c r="L308" s="5" t="inlineStr">
        <is>
          <t>30/30 isolated mutations returned the expected HTTP 201 with 0 server errors; p50=1291 ms and p95=1476.6 ms versus the 1000 ms target.</t>
        </is>
      </c>
      <c r="M308" s="5" t="inlineStr">
        <is>
          <t>EV-PERF-005</t>
        </is>
      </c>
      <c r="N308" s="5" t="inlineStr">
        <is>
          <t>Fail</t>
        </is>
      </c>
      <c r="O308" s="5" t="inlineStr"/>
      <c r="P308" s="10" t="inlineStr"/>
      <c r="Q308" s="11" t="n">
        <v>1476.6</v>
      </c>
      <c r="R308" s="12" t="n">
        <v>46275</v>
      </c>
      <c r="S308" s="5" t="inlineStr"/>
      <c r="T308" s="12" t="inlineStr"/>
      <c r="U308" s="5" t="inlineStr">
        <is>
          <t>All functional outputs succeeded; Fail indicates only that the strict latency target was exceeded. All created records were deleted.</t>
        </is>
      </c>
    </row>
    <row r="309">
      <c r="A309" s="4" t="inlineStr">
        <is>
          <t>PERF-09-L1</t>
        </is>
      </c>
      <c r="B309" s="5" t="inlineStr">
        <is>
          <t>Performance and Reliability</t>
        </is>
      </c>
      <c r="C309" s="5" t="inlineStr">
        <is>
          <t>Submit application</t>
        </is>
      </c>
      <c r="D309" s="5" t="inlineStr">
        <is>
          <t>Development Team</t>
        </is>
      </c>
      <c r="E309" s="5" t="inlineStr">
        <is>
          <t>High</t>
        </is>
      </c>
      <c r="F309" s="5" t="inlineStr">
        <is>
          <t>N/A</t>
        </is>
      </c>
      <c r="G309" s="5" t="inlineStr">
        <is>
          <t>1 user / normal network</t>
        </is>
      </c>
      <c r="H309" s="5" t="inlineStr">
        <is>
          <t>Staging services healthy; test data isolated; timer and server logs available.</t>
        </is>
      </c>
      <c r="I309" s="5" t="inlineStr">
        <is>
          <t>Measure Submit application under 1 user / normal network.</t>
        </is>
      </c>
      <c r="J309" s="5" t="inlineStr">
        <is>
          <t>Run the prepared operation with the stated load; record successes, failures, p50/p95 where multiple requests are used, 5xx responses and recovery behaviour; verify final data integrity.</t>
        </is>
      </c>
      <c r="K309" s="5" t="inlineStr">
        <is>
          <t>One valid application persists without duplication. Non-AI p95 &lt;1 s, scoring p95 &lt;2 s, voice p95 &lt;10 s, AI suggestions p95 &lt;30 s where applicable; &lt;1% 5xx.</t>
        </is>
      </c>
      <c r="L309" s="5" t="inlineStr">
        <is>
          <t>3/3 isolated mutations returned the expected HTTP 201 with 0 server errors; p50=886.1 ms and p95=1216.6 ms versus the 1000 ms target.</t>
        </is>
      </c>
      <c r="M309" s="5" t="inlineStr">
        <is>
          <t>EV-PERF-005</t>
        </is>
      </c>
      <c r="N309" s="5" t="inlineStr">
        <is>
          <t>Fail</t>
        </is>
      </c>
      <c r="O309" s="5" t="inlineStr"/>
      <c r="P309" s="10" t="inlineStr"/>
      <c r="Q309" s="11" t="n">
        <v>1216.6</v>
      </c>
      <c r="R309" s="12" t="n">
        <v>46275</v>
      </c>
      <c r="S309" s="5" t="inlineStr"/>
      <c r="T309" s="12" t="inlineStr"/>
      <c r="U309" s="5" t="inlineStr">
        <is>
          <t>All functional outputs succeeded; Fail indicates only that the strict latency target was exceeded. All created records were deleted.</t>
        </is>
      </c>
    </row>
    <row r="310">
      <c r="A310" s="4" t="inlineStr">
        <is>
          <t>PERF-09-L5</t>
        </is>
      </c>
      <c r="B310" s="5" t="inlineStr">
        <is>
          <t>Performance and Reliability</t>
        </is>
      </c>
      <c r="C310" s="5" t="inlineStr">
        <is>
          <t>Submit application</t>
        </is>
      </c>
      <c r="D310" s="5" t="inlineStr">
        <is>
          <t>Development Team</t>
        </is>
      </c>
      <c r="E310" s="5" t="inlineStr">
        <is>
          <t>High</t>
        </is>
      </c>
      <c r="F310" s="5" t="inlineStr">
        <is>
          <t>N/A</t>
        </is>
      </c>
      <c r="G310" s="5" t="inlineStr">
        <is>
          <t>5 concurrent users or requests</t>
        </is>
      </c>
      <c r="H310" s="5" t="inlineStr">
        <is>
          <t>Staging services healthy; test data isolated; timer and server logs available.</t>
        </is>
      </c>
      <c r="I310" s="5" t="inlineStr">
        <is>
          <t>Measure Submit application under 5 concurrent users or requests.</t>
        </is>
      </c>
      <c r="J310" s="5" t="inlineStr">
        <is>
          <t>Run the prepared operation with the stated load; record successes, failures, p50/p95 where multiple requests are used, 5xx responses and recovery behaviour; verify final data integrity.</t>
        </is>
      </c>
      <c r="K310" s="5" t="inlineStr">
        <is>
          <t>One valid application persists without duplication. Non-AI p95 &lt;1 s, scoring p95 &lt;2 s, voice p95 &lt;10 s, AI suggestions p95 &lt;30 s where applicable; &lt;1% 5xx.</t>
        </is>
      </c>
      <c r="L310" s="5" t="inlineStr">
        <is>
          <t>15/15 isolated mutations returned the expected HTTP 201 with 0 server errors; p50=4639.1 ms and p95=4825.7 ms versus the 1000 ms target.</t>
        </is>
      </c>
      <c r="M310" s="5" t="inlineStr">
        <is>
          <t>EV-PERF-005</t>
        </is>
      </c>
      <c r="N310" s="5" t="inlineStr">
        <is>
          <t>Fail</t>
        </is>
      </c>
      <c r="O310" s="5" t="inlineStr"/>
      <c r="P310" s="10" t="inlineStr"/>
      <c r="Q310" s="11" t="n">
        <v>4825.7</v>
      </c>
      <c r="R310" s="12" t="n">
        <v>46275</v>
      </c>
      <c r="S310" s="5" t="inlineStr"/>
      <c r="T310" s="12" t="inlineStr"/>
      <c r="U310" s="5" t="inlineStr">
        <is>
          <t>All functional outputs succeeded; Fail indicates only that the strict latency target was exceeded. All created records were deleted.</t>
        </is>
      </c>
    </row>
    <row r="311">
      <c r="A311" s="4" t="inlineStr">
        <is>
          <t>PERF-09-L10</t>
        </is>
      </c>
      <c r="B311" s="5" t="inlineStr">
        <is>
          <t>Performance and Reliability</t>
        </is>
      </c>
      <c r="C311" s="5" t="inlineStr">
        <is>
          <t>Submit application</t>
        </is>
      </c>
      <c r="D311" s="5" t="inlineStr">
        <is>
          <t>Development Team</t>
        </is>
      </c>
      <c r="E311" s="5" t="inlineStr">
        <is>
          <t>High</t>
        </is>
      </c>
      <c r="F311" s="5" t="inlineStr">
        <is>
          <t>N/A</t>
        </is>
      </c>
      <c r="G311" s="5" t="inlineStr">
        <is>
          <t>10 concurrent users or throttled network</t>
        </is>
      </c>
      <c r="H311" s="5" t="inlineStr">
        <is>
          <t>Staging services healthy; test data isolated; timer and server logs available.</t>
        </is>
      </c>
      <c r="I311" s="5" t="inlineStr">
        <is>
          <t>Measure Submit application under 10 concurrent users or throttled network.</t>
        </is>
      </c>
      <c r="J311" s="5" t="inlineStr">
        <is>
          <t>Run the prepared operation with the stated load; record successes, failures, p50/p95 where multiple requests are used, 5xx responses and recovery behaviour; verify final data integrity.</t>
        </is>
      </c>
      <c r="K311" s="5" t="inlineStr">
        <is>
          <t>One valid application persists without duplication. Non-AI p95 &lt;1 s, scoring p95 &lt;2 s, voice p95 &lt;10 s, AI suggestions p95 &lt;30 s where applicable; &lt;1% 5xx.</t>
        </is>
      </c>
      <c r="L311" s="5" t="inlineStr">
        <is>
          <t>30/30 isolated mutations returned the expected HTTP 201 with 0 server errors; p50=9500.8 ms and p95=10685.9 ms versus the 1000 ms target.</t>
        </is>
      </c>
      <c r="M311" s="5" t="inlineStr">
        <is>
          <t>EV-PERF-005</t>
        </is>
      </c>
      <c r="N311" s="5" t="inlineStr">
        <is>
          <t>Fail</t>
        </is>
      </c>
      <c r="O311" s="5" t="inlineStr"/>
      <c r="P311" s="10" t="inlineStr"/>
      <c r="Q311" s="11" t="n">
        <v>10685.9</v>
      </c>
      <c r="R311" s="12" t="n">
        <v>46275</v>
      </c>
      <c r="S311" s="5" t="inlineStr"/>
      <c r="T311" s="12" t="inlineStr"/>
      <c r="U311" s="5" t="inlineStr">
        <is>
          <t>All functional outputs succeeded; Fail indicates only that the strict latency target was exceeded. All created records were deleted.</t>
        </is>
      </c>
    </row>
  </sheetData>
  <autoFilter ref="A1:U311"/>
  <conditionalFormatting sqref="N2:N311">
    <cfRule type="expression" priority="1" dxfId="0">
      <formula>N2="Pass"</formula>
    </cfRule>
    <cfRule type="expression" priority="2" dxfId="1">
      <formula>N2="Fail"</formula>
    </cfRule>
    <cfRule type="expression" priority="3" dxfId="2">
      <formula>OR(N2="Partial",N2="Blocked")</formula>
    </cfRule>
  </conditionalFormatting>
  <conditionalFormatting sqref="S2:S311">
    <cfRule type="expression" priority="4" dxfId="0">
      <formula>S2="Pass"</formula>
    </cfRule>
  </conditionalFormatting>
  <dataValidations count="5">
    <dataValidation sqref="N2:N2000" showDropDown="0" showInputMessage="0" showErrorMessage="0" allowBlank="1" errorTitle="Invalid value" error="Choose a value from the list." promptTitle="Controlled field" prompt="Select one of the controlled values." type="list">
      <formula1>=Lists!$A$2:$A$6</formula1>
    </dataValidation>
    <dataValidation sqref="S2:S2000" showDropDown="0" showInputMessage="0" showErrorMessage="0" allowBlank="1" errorTitle="Invalid value" error="Choose a value from the list." promptTitle="Controlled field" prompt="Select one of the controlled values." type="list">
      <formula1>=Lists!$B$2:$B$5</formula1>
    </dataValidation>
    <dataValidation sqref="O2:O2000" showDropDown="0" showInputMessage="0" showErrorMessage="0" allowBlank="1" errorTitle="Invalid value" error="Choose a value from the list." promptTitle="Controlled field" prompt="Select one of the controlled values." type="list">
      <formula1>=Lists!$C$2:$C$6</formula1>
    </dataValidation>
    <dataValidation sqref="E2:E2000" showDropDown="0" showInputMessage="0" showErrorMessage="0" allowBlank="1" errorTitle="Invalid value" error="Choose a value from the list." promptTitle="Controlled field" prompt="Select one of the controlled values." type="list">
      <formula1>=Lists!$D$2:$D$5</formula1>
    </dataValidation>
    <dataValidation sqref="D2:D2000" showDropDown="0" showInputMessage="0" showErrorMessage="0" allowBlank="1" errorTitle="Invalid value" error="Choose a value from the list." promptTitle="Controlled field" prompt="Select one of the controlled values." type="list">
      <formula1>=Lists!$E$2:$E$4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4" customWidth="1" min="10" max="10"/>
  </cols>
  <sheetData>
    <row r="1" ht="38" customHeight="1">
      <c r="A1" s="1" t="inlineStr">
        <is>
          <t>Accuracy and Performance Metrics</t>
        </is>
      </c>
    </row>
    <row r="2" ht="34" customHeight="1">
      <c r="A2" s="2" t="inlineStr">
        <is>
          <t>Enter aggregate counts after completing the corresponding Master Register rows</t>
        </is>
      </c>
    </row>
    <row r="4">
      <c r="A4" s="13" t="inlineStr">
        <is>
          <t>AI PROFILE METRICS</t>
        </is>
      </c>
    </row>
    <row r="5">
      <c r="A5" s="14" t="inlineStr">
        <is>
          <t>Language</t>
        </is>
      </c>
      <c r="B5" s="14" t="inlineStr">
        <is>
          <t>Text quality</t>
        </is>
      </c>
      <c r="C5" s="14" t="inlineStr">
        <is>
          <t>TP</t>
        </is>
      </c>
      <c r="D5" s="14" t="inlineStr">
        <is>
          <t>FP</t>
        </is>
      </c>
      <c r="E5" s="14" t="inlineStr">
        <is>
          <t>FN</t>
        </is>
      </c>
      <c r="F5" s="14" t="inlineStr">
        <is>
          <t>Precision</t>
        </is>
      </c>
      <c r="G5" s="14" t="inlineStr">
        <is>
          <t>Recall</t>
        </is>
      </c>
      <c r="H5" s="14" t="inlineStr">
        <is>
          <t>F1</t>
        </is>
      </c>
      <c r="I5" s="14" t="inlineStr">
        <is>
          <t>False disability inference</t>
        </is>
      </c>
      <c r="J5" s="14" t="inlineStr">
        <is>
          <t>Invented task</t>
        </is>
      </c>
      <c r="K5" s="5" t="n"/>
    </row>
    <row r="6">
      <c r="A6" s="5" t="inlineStr">
        <is>
          <t>English</t>
        </is>
      </c>
      <c r="B6" s="5" t="inlineStr">
        <is>
          <t>Clean text</t>
        </is>
      </c>
      <c r="C6" s="5" t="n"/>
      <c r="D6" s="5" t="n"/>
      <c r="E6" s="5" t="n"/>
      <c r="F6" s="15">
        <f>IFERROR(C6/(C6+D6),0)</f>
        <v/>
      </c>
      <c r="G6" s="15">
        <f>IFERROR(C6/(C6+E6),0)</f>
        <v/>
      </c>
      <c r="H6" s="15">
        <f>IFERROR(2*F6*G6/(F6+G6),0)</f>
        <v/>
      </c>
      <c r="I6" s="5" t="n"/>
      <c r="J6" s="5" t="n"/>
      <c r="K6" s="5" t="n"/>
    </row>
    <row r="7">
      <c r="A7" s="5" t="inlineStr">
        <is>
          <t>English</t>
        </is>
      </c>
      <c r="B7" s="5" t="inlineStr">
        <is>
          <t>Imperfect transcript</t>
        </is>
      </c>
      <c r="C7" s="5" t="n"/>
      <c r="D7" s="5" t="n"/>
      <c r="E7" s="5" t="n"/>
      <c r="F7" s="15">
        <f>IFERROR(C7/(C7+D7),0)</f>
        <v/>
      </c>
      <c r="G7" s="15">
        <f>IFERROR(C7/(C7+E7),0)</f>
        <v/>
      </c>
      <c r="H7" s="15">
        <f>IFERROR(2*F7*G7/(F7+G7),0)</f>
        <v/>
      </c>
      <c r="I7" s="5" t="n"/>
      <c r="J7" s="5" t="n"/>
      <c r="K7" s="5" t="n"/>
    </row>
    <row r="8">
      <c r="A8" s="5" t="inlineStr">
        <is>
          <t>French</t>
        </is>
      </c>
      <c r="B8" s="5" t="inlineStr">
        <is>
          <t>Clean text</t>
        </is>
      </c>
      <c r="C8" s="5" t="n"/>
      <c r="D8" s="5" t="n"/>
      <c r="E8" s="5" t="n"/>
      <c r="F8" s="15">
        <f>IFERROR(C8/(C8+D8),0)</f>
        <v/>
      </c>
      <c r="G8" s="15">
        <f>IFERROR(C8/(C8+E8),0)</f>
        <v/>
      </c>
      <c r="H8" s="15">
        <f>IFERROR(2*F8*G8/(F8+G8),0)</f>
        <v/>
      </c>
      <c r="I8" s="5" t="n"/>
      <c r="J8" s="5" t="n"/>
      <c r="K8" s="5" t="n"/>
    </row>
    <row r="9">
      <c r="A9" s="5" t="inlineStr">
        <is>
          <t>French</t>
        </is>
      </c>
      <c r="B9" s="5" t="inlineStr">
        <is>
          <t>Imperfect transcript</t>
        </is>
      </c>
      <c r="C9" s="5" t="n"/>
      <c r="D9" s="5" t="n"/>
      <c r="E9" s="5" t="n"/>
      <c r="F9" s="15">
        <f>IFERROR(C9/(C9+D9),0)</f>
        <v/>
      </c>
      <c r="G9" s="15">
        <f>IFERROR(C9/(C9+E9),0)</f>
        <v/>
      </c>
      <c r="H9" s="15">
        <f>IFERROR(2*F9*G9/(F9+G9),0)</f>
        <v/>
      </c>
      <c r="I9" s="5" t="n"/>
      <c r="J9" s="5" t="n"/>
      <c r="K9" s="5" t="n"/>
    </row>
    <row r="10">
      <c r="A10" s="5" t="inlineStr">
        <is>
          <t>Arabic</t>
        </is>
      </c>
      <c r="B10" s="5" t="inlineStr">
        <is>
          <t>Clean text</t>
        </is>
      </c>
      <c r="C10" s="5" t="n"/>
      <c r="D10" s="5" t="n"/>
      <c r="E10" s="5" t="n"/>
      <c r="F10" s="15">
        <f>IFERROR(C10/(C10+D10),0)</f>
        <v/>
      </c>
      <c r="G10" s="15">
        <f>IFERROR(C10/(C10+E10),0)</f>
        <v/>
      </c>
      <c r="H10" s="15">
        <f>IFERROR(2*F10*G10/(F10+G10),0)</f>
        <v/>
      </c>
      <c r="I10" s="5" t="n"/>
      <c r="J10" s="5" t="n"/>
      <c r="K10" s="5" t="n"/>
    </row>
    <row r="11">
      <c r="A11" s="5" t="inlineStr">
        <is>
          <t>Arabic</t>
        </is>
      </c>
      <c r="B11" s="5" t="inlineStr">
        <is>
          <t>Imperfect transcript</t>
        </is>
      </c>
      <c r="C11" s="5" t="n"/>
      <c r="D11" s="5" t="n"/>
      <c r="E11" s="5" t="n"/>
      <c r="F11" s="15">
        <f>IFERROR(C11/(C11+D11),0)</f>
        <v/>
      </c>
      <c r="G11" s="15">
        <f>IFERROR(C11/(C11+E11),0)</f>
        <v/>
      </c>
      <c r="H11" s="15">
        <f>IFERROR(2*F11*G11/(F11+G11),0)</f>
        <v/>
      </c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16" t="inlineStr">
        <is>
          <t>VOICE METRICS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14" t="inlineStr">
        <is>
          <t>Language</t>
        </is>
      </c>
      <c r="B15" s="14" t="inlineStr">
        <is>
          <t>Request type</t>
        </is>
      </c>
      <c r="C15" s="14" t="inlineStr">
        <is>
          <t>Executed</t>
        </is>
      </c>
      <c r="D15" s="14" t="inlineStr">
        <is>
          <t>Transcript correct</t>
        </is>
      </c>
      <c r="E15" s="14" t="inlineStr">
        <is>
          <t>Classification correct</t>
        </is>
      </c>
      <c r="F15" s="14" t="inlineStr">
        <is>
          <t>Final action correct</t>
        </is>
      </c>
      <c r="G15" s="14" t="inlineStr">
        <is>
          <t>Unauthorized actions</t>
        </is>
      </c>
      <c r="H15" s="14" t="inlineStr">
        <is>
          <t>Average ms</t>
        </is>
      </c>
      <c r="I15" s="14" t="inlineStr">
        <is>
          <t>p95 ms</t>
        </is>
      </c>
      <c r="J15" s="14" t="inlineStr">
        <is>
          <t>Notes</t>
        </is>
      </c>
      <c r="K15" s="5" t="n"/>
    </row>
    <row r="16">
      <c r="A16" s="5" t="inlineStr">
        <is>
          <t>English</t>
        </is>
      </c>
      <c r="B16" s="5" t="inlineStr">
        <is>
          <t>Navigation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inlineStr">
        <is>
          <t>English</t>
        </is>
      </c>
      <c r="B17" s="5" t="inlineStr">
        <is>
          <t>Interface action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inlineStr">
        <is>
          <t>English</t>
        </is>
      </c>
      <c r="B18" s="5" t="inlineStr">
        <is>
          <t>Page question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inlineStr">
        <is>
          <t>English</t>
        </is>
      </c>
      <c r="B19" s="5" t="inlineStr">
        <is>
          <t>Confirmation / rejected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inlineStr">
        <is>
          <t>French</t>
        </is>
      </c>
      <c r="B20" s="5" t="inlineStr">
        <is>
          <t>Navigation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inlineStr">
        <is>
          <t>French</t>
        </is>
      </c>
      <c r="B21" s="5" t="inlineStr">
        <is>
          <t>Interface action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inlineStr">
        <is>
          <t>French</t>
        </is>
      </c>
      <c r="B22" s="5" t="inlineStr">
        <is>
          <t>Page question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inlineStr">
        <is>
          <t>French</t>
        </is>
      </c>
      <c r="B23" s="5" t="inlineStr">
        <is>
          <t>Confirmation / rejected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inlineStr">
        <is>
          <t>Arabic</t>
        </is>
      </c>
      <c r="B24" s="5" t="inlineStr">
        <is>
          <t>Navigation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inlineStr">
        <is>
          <t>Arabic</t>
        </is>
      </c>
      <c r="B25" s="5" t="inlineStr">
        <is>
          <t>Interface action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inlineStr">
        <is>
          <t>Arabic</t>
        </is>
      </c>
      <c r="B26" s="5" t="inlineStr">
        <is>
          <t>Page question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inlineStr">
        <is>
          <t>Arabic</t>
        </is>
      </c>
      <c r="B27" s="5" t="inlineStr">
        <is>
          <t>Confirmation / rejected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7" t="inlineStr">
        <is>
          <t>PERFORMANCE METRICS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14" t="inlineStr">
        <is>
          <t>Operation</t>
        </is>
      </c>
      <c r="B31" s="14" t="inlineStr">
        <is>
          <t>Load</t>
        </is>
      </c>
      <c r="C31" s="14" t="inlineStr">
        <is>
          <t>Runs</t>
        </is>
      </c>
      <c r="D31" s="14" t="inlineStr">
        <is>
          <t>Successful</t>
        </is>
      </c>
      <c r="E31" s="14" t="inlineStr">
        <is>
          <t>Failed</t>
        </is>
      </c>
      <c r="F31" s="14" t="inlineStr">
        <is>
          <t>Success rate</t>
        </is>
      </c>
      <c r="G31" s="14" t="inlineStr">
        <is>
          <t>p50 ms</t>
        </is>
      </c>
      <c r="H31" s="14" t="inlineStr">
        <is>
          <t>p95 ms</t>
        </is>
      </c>
      <c r="I31" s="14" t="inlineStr">
        <is>
          <t>5xx</t>
        </is>
      </c>
      <c r="J31" s="14" t="inlineStr">
        <is>
          <t>Notes</t>
        </is>
      </c>
      <c r="K31" s="5" t="n"/>
    </row>
    <row r="32">
      <c r="A32" s="5" t="inlineStr">
        <is>
          <t>Sign in</t>
        </is>
      </c>
      <c r="B32" s="5" t="inlineStr">
        <is>
          <t>1 user</t>
        </is>
      </c>
      <c r="C32" s="5" t="n"/>
      <c r="D32" s="5" t="n"/>
      <c r="E32" s="5" t="n"/>
      <c r="F32" s="15">
        <f>IFERROR(D32/C32,0)</f>
        <v/>
      </c>
      <c r="G32" s="5" t="n"/>
      <c r="H32" s="5" t="n"/>
      <c r="I32" s="5" t="n"/>
      <c r="J32" s="5" t="n"/>
      <c r="K32" s="5" t="n"/>
    </row>
    <row r="33">
      <c r="A33" s="5" t="inlineStr">
        <is>
          <t>Sign in</t>
        </is>
      </c>
      <c r="B33" s="5" t="inlineStr">
        <is>
          <t>5 concurrent</t>
        </is>
      </c>
      <c r="C33" s="5" t="n"/>
      <c r="D33" s="5" t="n"/>
      <c r="E33" s="5" t="n"/>
      <c r="F33" s="15">
        <f>IFERROR(D33/C33,0)</f>
        <v/>
      </c>
      <c r="G33" s="5" t="n"/>
      <c r="H33" s="5" t="n"/>
      <c r="I33" s="5" t="n"/>
      <c r="J33" s="5" t="n"/>
      <c r="K33" s="5" t="n"/>
    </row>
    <row r="34">
      <c r="A34" s="5" t="inlineStr">
        <is>
          <t>Sign in</t>
        </is>
      </c>
      <c r="B34" s="5" t="inlineStr">
        <is>
          <t>10 concurrent / throttled</t>
        </is>
      </c>
      <c r="C34" s="5" t="n"/>
      <c r="D34" s="5" t="n"/>
      <c r="E34" s="5" t="n"/>
      <c r="F34" s="15">
        <f>IFERROR(D34/C34,0)</f>
        <v/>
      </c>
      <c r="G34" s="5" t="n"/>
      <c r="H34" s="5" t="n"/>
      <c r="I34" s="5" t="n"/>
      <c r="J34" s="5" t="n"/>
      <c r="K34" s="5" t="n"/>
    </row>
    <row r="35">
      <c r="A35" s="5" t="inlineStr">
        <is>
          <t>Load profile</t>
        </is>
      </c>
      <c r="B35" s="5" t="inlineStr">
        <is>
          <t>1 user</t>
        </is>
      </c>
      <c r="C35" s="5" t="n"/>
      <c r="D35" s="5" t="n"/>
      <c r="E35" s="5" t="n"/>
      <c r="F35" s="15">
        <f>IFERROR(D35/C35,0)</f>
        <v/>
      </c>
      <c r="G35" s="5" t="n"/>
      <c r="H35" s="5" t="n"/>
      <c r="I35" s="5" t="n"/>
      <c r="J35" s="5" t="n"/>
      <c r="K35" s="5" t="n"/>
    </row>
    <row r="36">
      <c r="A36" s="5" t="inlineStr">
        <is>
          <t>Load profile</t>
        </is>
      </c>
      <c r="B36" s="5" t="inlineStr">
        <is>
          <t>5 concurrent</t>
        </is>
      </c>
      <c r="C36" s="5" t="n"/>
      <c r="D36" s="5" t="n"/>
      <c r="E36" s="5" t="n"/>
      <c r="F36" s="15">
        <f>IFERROR(D36/C36,0)</f>
        <v/>
      </c>
      <c r="G36" s="5" t="n"/>
      <c r="H36" s="5" t="n"/>
      <c r="I36" s="5" t="n"/>
      <c r="J36" s="5" t="n"/>
      <c r="K36" s="5" t="n"/>
    </row>
    <row r="37">
      <c r="A37" s="5" t="inlineStr">
        <is>
          <t>Load profile</t>
        </is>
      </c>
      <c r="B37" s="5" t="inlineStr">
        <is>
          <t>10 concurrent / throttled</t>
        </is>
      </c>
      <c r="C37" s="5" t="n"/>
      <c r="D37" s="5" t="n"/>
      <c r="E37" s="5" t="n"/>
      <c r="F37" s="15">
        <f>IFERROR(D37/C37,0)</f>
        <v/>
      </c>
      <c r="G37" s="5" t="n"/>
      <c r="H37" s="5" t="n"/>
      <c r="I37" s="5" t="n"/>
      <c r="J37" s="5" t="n"/>
      <c r="K37" s="5" t="n"/>
    </row>
    <row r="38">
      <c r="A38" s="5" t="inlineStr">
        <is>
          <t>Save profile</t>
        </is>
      </c>
      <c r="B38" s="5" t="inlineStr">
        <is>
          <t>1 user</t>
        </is>
      </c>
      <c r="C38" s="5" t="n"/>
      <c r="D38" s="5" t="n"/>
      <c r="E38" s="5" t="n"/>
      <c r="F38" s="15">
        <f>IFERROR(D38/C38,0)</f>
        <v/>
      </c>
      <c r="G38" s="5" t="n"/>
      <c r="H38" s="5" t="n"/>
      <c r="I38" s="5" t="n"/>
      <c r="J38" s="5" t="n"/>
      <c r="K38" s="5" t="n"/>
    </row>
    <row r="39">
      <c r="A39" s="5" t="inlineStr">
        <is>
          <t>Save profile</t>
        </is>
      </c>
      <c r="B39" s="5" t="inlineStr">
        <is>
          <t>5 concurrent</t>
        </is>
      </c>
      <c r="C39" s="5" t="n"/>
      <c r="D39" s="5" t="n"/>
      <c r="E39" s="5" t="n"/>
      <c r="F39" s="15">
        <f>IFERROR(D39/C39,0)</f>
        <v/>
      </c>
      <c r="G39" s="5" t="n"/>
      <c r="H39" s="5" t="n"/>
      <c r="I39" s="5" t="n"/>
      <c r="J39" s="5" t="n"/>
      <c r="K39" s="5" t="n"/>
    </row>
    <row r="40">
      <c r="A40" s="5" t="inlineStr">
        <is>
          <t>Save profile</t>
        </is>
      </c>
      <c r="B40" s="5" t="inlineStr">
        <is>
          <t>10 concurrent / throttled</t>
        </is>
      </c>
      <c r="C40" s="5" t="n"/>
      <c r="D40" s="5" t="n"/>
      <c r="E40" s="5" t="n"/>
      <c r="F40" s="15">
        <f>IFERROR(D40/C40,0)</f>
        <v/>
      </c>
      <c r="G40" s="5" t="n"/>
      <c r="H40" s="5" t="n"/>
      <c r="I40" s="5" t="n"/>
      <c r="J40" s="5" t="n"/>
      <c r="K40" s="5" t="n"/>
    </row>
    <row r="41">
      <c r="A41" s="5" t="inlineStr">
        <is>
          <t>AI suggestions</t>
        </is>
      </c>
      <c r="B41" s="5" t="inlineStr">
        <is>
          <t>1 user</t>
        </is>
      </c>
      <c r="C41" s="5" t="n"/>
      <c r="D41" s="5" t="n"/>
      <c r="E41" s="5" t="n"/>
      <c r="F41" s="15">
        <f>IFERROR(D41/C41,0)</f>
        <v/>
      </c>
      <c r="G41" s="5" t="n"/>
      <c r="H41" s="5" t="n"/>
      <c r="I41" s="5" t="n"/>
      <c r="J41" s="5" t="n"/>
      <c r="K41" s="5" t="n"/>
    </row>
    <row r="42">
      <c r="A42" s="5" t="inlineStr">
        <is>
          <t>AI suggestions</t>
        </is>
      </c>
      <c r="B42" s="5" t="inlineStr">
        <is>
          <t>5 concurrent</t>
        </is>
      </c>
      <c r="C42" s="5" t="n"/>
      <c r="D42" s="5" t="n"/>
      <c r="E42" s="5" t="n"/>
      <c r="F42" s="15">
        <f>IFERROR(D42/C42,0)</f>
        <v/>
      </c>
      <c r="G42" s="5" t="n"/>
      <c r="H42" s="5" t="n"/>
      <c r="I42" s="5" t="n"/>
      <c r="J42" s="5" t="n"/>
      <c r="K42" s="5" t="n"/>
    </row>
    <row r="43">
      <c r="A43" s="5" t="inlineStr">
        <is>
          <t>AI suggestions</t>
        </is>
      </c>
      <c r="B43" s="5" t="inlineStr">
        <is>
          <t>10 concurrent / throttled</t>
        </is>
      </c>
      <c r="C43" s="5" t="n"/>
      <c r="D43" s="5" t="n"/>
      <c r="E43" s="5" t="n"/>
      <c r="F43" s="15">
        <f>IFERROR(D43/C43,0)</f>
        <v/>
      </c>
      <c r="G43" s="5" t="n"/>
      <c r="H43" s="5" t="n"/>
      <c r="I43" s="5" t="n"/>
      <c r="J43" s="5" t="n"/>
      <c r="K43" s="5" t="n"/>
    </row>
    <row r="44">
      <c r="A44" s="5" t="inlineStr">
        <is>
          <t>Voice command</t>
        </is>
      </c>
      <c r="B44" s="5" t="inlineStr">
        <is>
          <t>1 user</t>
        </is>
      </c>
      <c r="C44" s="5" t="n"/>
      <c r="D44" s="5" t="n"/>
      <c r="E44" s="5" t="n"/>
      <c r="F44" s="15">
        <f>IFERROR(D44/C44,0)</f>
        <v/>
      </c>
      <c r="G44" s="5" t="n"/>
      <c r="H44" s="5" t="n"/>
      <c r="I44" s="5" t="n"/>
      <c r="J44" s="5" t="n"/>
      <c r="K44" s="5" t="n"/>
    </row>
    <row r="45">
      <c r="A45" s="5" t="inlineStr">
        <is>
          <t>Voice command</t>
        </is>
      </c>
      <c r="B45" s="5" t="inlineStr">
        <is>
          <t>5 concurrent</t>
        </is>
      </c>
      <c r="C45" s="5" t="n"/>
      <c r="D45" s="5" t="n"/>
      <c r="E45" s="5" t="n"/>
      <c r="F45" s="15">
        <f>IFERROR(D45/C45,0)</f>
        <v/>
      </c>
      <c r="G45" s="5" t="n"/>
      <c r="H45" s="5" t="n"/>
      <c r="I45" s="5" t="n"/>
      <c r="J45" s="5" t="n"/>
      <c r="K45" s="5" t="n"/>
    </row>
    <row r="46">
      <c r="A46" s="5" t="inlineStr">
        <is>
          <t>Voice command</t>
        </is>
      </c>
      <c r="B46" s="5" t="inlineStr">
        <is>
          <t>10 concurrent / throttled</t>
        </is>
      </c>
      <c r="C46" s="5" t="n"/>
      <c r="D46" s="5" t="n"/>
      <c r="E46" s="5" t="n"/>
      <c r="F46" s="15">
        <f>IFERROR(D46/C46,0)</f>
        <v/>
      </c>
      <c r="G46" s="5" t="n"/>
      <c r="H46" s="5" t="n"/>
      <c r="I46" s="5" t="n"/>
      <c r="J46" s="5" t="n"/>
      <c r="K46" s="5" t="n"/>
    </row>
    <row r="47">
      <c r="A47" s="5" t="inlineStr">
        <is>
          <t>Matching</t>
        </is>
      </c>
      <c r="B47" s="5" t="inlineStr">
        <is>
          <t>1 user</t>
        </is>
      </c>
      <c r="C47" s="5" t="n"/>
      <c r="D47" s="5" t="n"/>
      <c r="E47" s="5" t="n"/>
      <c r="F47" s="15">
        <f>IFERROR(D47/C47,0)</f>
        <v/>
      </c>
      <c r="G47" s="5" t="n"/>
      <c r="H47" s="5" t="n"/>
      <c r="I47" s="5" t="n"/>
      <c r="J47" s="5" t="n"/>
      <c r="K47" s="5" t="n"/>
    </row>
    <row r="48">
      <c r="A48" s="5" t="inlineStr">
        <is>
          <t>Matching</t>
        </is>
      </c>
      <c r="B48" s="5" t="inlineStr">
        <is>
          <t>5 concurrent</t>
        </is>
      </c>
      <c r="C48" s="5" t="n"/>
      <c r="D48" s="5" t="n"/>
      <c r="E48" s="5" t="n"/>
      <c r="F48" s="15">
        <f>IFERROR(D48/C48,0)</f>
        <v/>
      </c>
      <c r="G48" s="5" t="n"/>
      <c r="H48" s="5" t="n"/>
      <c r="I48" s="5" t="n"/>
      <c r="J48" s="5" t="n"/>
      <c r="K48" s="5" t="n"/>
    </row>
    <row r="49">
      <c r="A49" s="5" t="inlineStr">
        <is>
          <t>Matching</t>
        </is>
      </c>
      <c r="B49" s="5" t="inlineStr">
        <is>
          <t>10 concurrent / throttled</t>
        </is>
      </c>
      <c r="C49" s="5" t="n"/>
      <c r="D49" s="5" t="n"/>
      <c r="E49" s="5" t="n"/>
      <c r="F49" s="15">
        <f>IFERROR(D49/C49,0)</f>
        <v/>
      </c>
      <c r="G49" s="5" t="n"/>
      <c r="H49" s="5" t="n"/>
      <c r="I49" s="5" t="n"/>
      <c r="J49" s="5" t="n"/>
      <c r="K49" s="5" t="n"/>
    </row>
    <row r="50">
      <c r="A50" s="5" t="inlineStr">
        <is>
          <t>Load opportunities</t>
        </is>
      </c>
      <c r="B50" s="5" t="inlineStr">
        <is>
          <t>1 user</t>
        </is>
      </c>
      <c r="C50" s="5" t="n"/>
      <c r="D50" s="5" t="n"/>
      <c r="E50" s="5" t="n"/>
      <c r="F50" s="15">
        <f>IFERROR(D50/C50,0)</f>
        <v/>
      </c>
      <c r="G50" s="5" t="n"/>
      <c r="H50" s="5" t="n"/>
      <c r="I50" s="5" t="n"/>
      <c r="J50" s="5" t="n"/>
      <c r="K50" s="5" t="n"/>
    </row>
    <row r="51">
      <c r="A51" s="5" t="inlineStr">
        <is>
          <t>Load opportunities</t>
        </is>
      </c>
      <c r="B51" s="5" t="inlineStr">
        <is>
          <t>5 concurrent</t>
        </is>
      </c>
      <c r="C51" s="5" t="n"/>
      <c r="D51" s="5" t="n"/>
      <c r="E51" s="5" t="n"/>
      <c r="F51" s="15">
        <f>IFERROR(D51/C51,0)</f>
        <v/>
      </c>
      <c r="G51" s="5" t="n"/>
      <c r="H51" s="5" t="n"/>
      <c r="I51" s="5" t="n"/>
      <c r="J51" s="5" t="n"/>
      <c r="K51" s="5" t="n"/>
    </row>
    <row r="52">
      <c r="A52" s="5" t="inlineStr">
        <is>
          <t>Load opportunities</t>
        </is>
      </c>
      <c r="B52" s="5" t="inlineStr">
        <is>
          <t>10 concurrent / throttled</t>
        </is>
      </c>
      <c r="C52" s="5" t="n"/>
      <c r="D52" s="5" t="n"/>
      <c r="E52" s="5" t="n"/>
      <c r="F52" s="15">
        <f>IFERROR(D52/C52,0)</f>
        <v/>
      </c>
      <c r="G52" s="5" t="n"/>
      <c r="H52" s="5" t="n"/>
      <c r="I52" s="5" t="n"/>
      <c r="J52" s="5" t="n"/>
      <c r="K52" s="5" t="n"/>
    </row>
    <row r="53">
      <c r="A53" s="5" t="inlineStr">
        <is>
          <t>Publish opportunity</t>
        </is>
      </c>
      <c r="B53" s="5" t="inlineStr">
        <is>
          <t>1 user</t>
        </is>
      </c>
      <c r="C53" s="5" t="n"/>
      <c r="D53" s="5" t="n"/>
      <c r="E53" s="5" t="n"/>
      <c r="F53" s="15">
        <f>IFERROR(D53/C53,0)</f>
        <v/>
      </c>
      <c r="G53" s="5" t="n"/>
      <c r="H53" s="5" t="n"/>
      <c r="I53" s="5" t="n"/>
      <c r="J53" s="5" t="n"/>
      <c r="K53" s="5" t="n"/>
    </row>
    <row r="54">
      <c r="A54" s="5" t="inlineStr">
        <is>
          <t>Publish opportunity</t>
        </is>
      </c>
      <c r="B54" s="5" t="inlineStr">
        <is>
          <t>5 concurrent</t>
        </is>
      </c>
      <c r="C54" s="5" t="n"/>
      <c r="D54" s="5" t="n"/>
      <c r="E54" s="5" t="n"/>
      <c r="F54" s="15">
        <f>IFERROR(D54/C54,0)</f>
        <v/>
      </c>
      <c r="G54" s="5" t="n"/>
      <c r="H54" s="5" t="n"/>
      <c r="I54" s="5" t="n"/>
      <c r="J54" s="5" t="n"/>
      <c r="K54" s="5" t="n"/>
    </row>
    <row r="55">
      <c r="A55" s="5" t="inlineStr">
        <is>
          <t>Publish opportunity</t>
        </is>
      </c>
      <c r="B55" s="5" t="inlineStr">
        <is>
          <t>10 concurrent / throttled</t>
        </is>
      </c>
      <c r="C55" s="5" t="n"/>
      <c r="D55" s="5" t="n"/>
      <c r="E55" s="5" t="n"/>
      <c r="F55" s="15">
        <f>IFERROR(D55/C55,0)</f>
        <v/>
      </c>
      <c r="G55" s="5" t="n"/>
      <c r="H55" s="5" t="n"/>
      <c r="I55" s="5" t="n"/>
      <c r="J55" s="5" t="n"/>
      <c r="K55" s="5" t="n"/>
    </row>
    <row r="56">
      <c r="A56" s="5" t="inlineStr">
        <is>
          <t>Submit application</t>
        </is>
      </c>
      <c r="B56" s="5" t="inlineStr">
        <is>
          <t>1 user</t>
        </is>
      </c>
      <c r="C56" s="5" t="n"/>
      <c r="D56" s="5" t="n"/>
      <c r="E56" s="5" t="n"/>
      <c r="F56" s="15">
        <f>IFERROR(D56/C56,0)</f>
        <v/>
      </c>
      <c r="G56" s="5" t="n"/>
      <c r="H56" s="5" t="n"/>
      <c r="I56" s="5" t="n"/>
      <c r="J56" s="5" t="n"/>
      <c r="K56" s="5" t="n"/>
    </row>
    <row r="57">
      <c r="A57" s="5" t="inlineStr">
        <is>
          <t>Submit application</t>
        </is>
      </c>
      <c r="B57" s="5" t="inlineStr">
        <is>
          <t>5 concurrent</t>
        </is>
      </c>
      <c r="C57" s="5" t="n"/>
      <c r="D57" s="5" t="n"/>
      <c r="E57" s="5" t="n"/>
      <c r="F57" s="15">
        <f>IFERROR(D57/C57,0)</f>
        <v/>
      </c>
      <c r="G57" s="5" t="n"/>
      <c r="H57" s="5" t="n"/>
      <c r="I57" s="5" t="n"/>
      <c r="J57" s="5" t="n"/>
      <c r="K57" s="5" t="n"/>
    </row>
    <row r="58">
      <c r="A58" s="5" t="inlineStr">
        <is>
          <t>Submit application</t>
        </is>
      </c>
      <c r="B58" s="5" t="inlineStr">
        <is>
          <t>10 concurrent / throttled</t>
        </is>
      </c>
      <c r="C58" s="5" t="n"/>
      <c r="D58" s="5" t="n"/>
      <c r="E58" s="5" t="n"/>
      <c r="F58" s="15">
        <f>IFERROR(D58/C58,0)</f>
        <v/>
      </c>
      <c r="G58" s="5" t="n"/>
      <c r="H58" s="5" t="n"/>
      <c r="I58" s="5" t="n"/>
      <c r="J58" s="5" t="n"/>
      <c r="K58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8" customWidth="1" min="4" max="4"/>
    <col width="1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Defect ID</t>
        </is>
      </c>
      <c r="B1" s="3" t="inlineStr">
        <is>
          <t>Related Test ID</t>
        </is>
      </c>
      <c r="C1" s="3" t="inlineStr">
        <is>
          <t>Area</t>
        </is>
      </c>
      <c r="D1" s="3" t="inlineStr">
        <is>
          <t>Summary</t>
        </is>
      </c>
      <c r="E1" s="3" t="inlineStr">
        <is>
          <t>Severity</t>
        </is>
      </c>
      <c r="F1" s="3" t="inlineStr">
        <is>
          <t>Reproduction</t>
        </is>
      </c>
      <c r="G1" s="3" t="inlineStr">
        <is>
          <t>Expected</t>
        </is>
      </c>
      <c r="H1" s="3" t="inlineStr">
        <is>
          <t>Actual</t>
        </is>
      </c>
      <c r="I1" s="3" t="inlineStr">
        <is>
          <t>Root Cause</t>
        </is>
      </c>
      <c r="J1" s="3" t="inlineStr">
        <is>
          <t>Correction</t>
        </is>
      </c>
      <c r="K1" s="3" t="inlineStr">
        <is>
          <t>Owner</t>
        </is>
      </c>
      <c r="L1" s="3" t="inlineStr">
        <is>
          <t>Status</t>
        </is>
      </c>
      <c r="M1" s="3" t="inlineStr">
        <is>
          <t>Opened Date</t>
        </is>
      </c>
      <c r="N1" s="3" t="inlineStr">
        <is>
          <t>Retest Test ID</t>
        </is>
      </c>
      <c r="O1" s="3" t="inlineStr">
        <is>
          <t>Closed Date</t>
        </is>
      </c>
      <c r="P1" s="3" t="inlineStr">
        <is>
          <t>Evidence Reference</t>
        </is>
      </c>
    </row>
    <row r="2">
      <c r="A2" s="4" t="inlineStr">
        <is>
          <t>DEF-001</t>
        </is>
      </c>
      <c r="B2" s="5" t="inlineStr">
        <is>
          <t>ACC-02-ZM</t>
        </is>
      </c>
      <c r="C2" s="5" t="inlineStr">
        <is>
          <t>Accessibility</t>
        </is>
      </c>
      <c r="D2" s="5" t="inlineStr">
        <is>
          <t>Candidate profile helper text has insufficient color contrast</t>
        </is>
      </c>
      <c r="E2" s="5" t="inlineStr">
        <is>
          <t>High</t>
        </is>
      </c>
      <c r="F2" s="5" t="inlineStr">
        <is>
          <t>Open the candidate profile at any audited viewport and run the WCAG 2.1 A/AA axe scan.</t>
        </is>
      </c>
      <c r="G2" s="5" t="inlineStr">
        <is>
          <t>Normal-size helper text meets at least the WCAG AA 4.5:1 contrast ratio.</t>
        </is>
      </c>
      <c r="H2" s="5" t="inlineStr">
        <is>
          <t>Four candidate-profile text elements measured between 4.16:1 and 4.45:1; axe reported color-contrast as serious.</t>
        </is>
      </c>
      <c r="I2" s="5" t="inlineStr">
        <is>
          <t>Muted text colors are too light against the profile backgrounds.</t>
        </is>
      </c>
      <c r="J2" s="5" t="inlineStr">
        <is>
          <t>Pending: darken the affected muted text tokens and rerun the deployed audit.</t>
        </is>
      </c>
      <c r="K2" s="5" t="inlineStr">
        <is>
          <t>Development Team</t>
        </is>
      </c>
      <c r="L2" s="5" t="inlineStr">
        <is>
          <t>Open</t>
        </is>
      </c>
      <c r="M2" s="12" t="n">
        <v>46275</v>
      </c>
      <c r="N2" s="5" t="inlineStr"/>
      <c r="O2" s="12" t="inlineStr"/>
      <c r="P2" s="5" t="inlineStr">
        <is>
          <t>EV-ACC-001</t>
        </is>
      </c>
    </row>
    <row r="3">
      <c r="A3" s="4" t="inlineStr">
        <is>
          <t>DEF-002</t>
        </is>
      </c>
      <c r="B3" s="5" t="inlineStr">
        <is>
          <t>ACC-02-ZM</t>
        </is>
      </c>
      <c r="C3" s="5" t="inlineStr">
        <is>
          <t>Accessibility</t>
        </is>
      </c>
      <c r="D3" s="5" t="inlineStr">
        <is>
          <t>Candidate profile header overflows in the automated 200% zoom scenario</t>
        </is>
      </c>
      <c r="E3" s="5" t="inlineStr">
        <is>
          <t>High</t>
        </is>
      </c>
      <c r="F3" s="5" t="inlineStr">
        <is>
          <t>Open /candidate or /candidate/setup at the 640 px audit viewport and apply 200% CSS zoom.</t>
        </is>
      </c>
      <c r="G3" s="5" t="inlineStr">
        <is>
          <t>Essential profile content reflows without horizontal scrolling.</t>
        </is>
      </c>
      <c r="H3" s="5" t="inlineStr">
        <is>
          <t>Document width increased from 640 px to 832 px because the header tools/language control did not reflow.</t>
        </is>
      </c>
      <c r="I3" s="5" t="inlineStr">
        <is>
          <t>The candidate profile header tools retain a non-wrapping width at high zoom.</t>
        </is>
      </c>
      <c r="J3" s="5" t="inlineStr">
        <is>
          <t>Pending manual browser-zoom confirmation, then responsive header correction and retest.</t>
        </is>
      </c>
      <c r="K3" s="5" t="inlineStr">
        <is>
          <t>Development Team</t>
        </is>
      </c>
      <c r="L3" s="5" t="inlineStr">
        <is>
          <t>Open</t>
        </is>
      </c>
      <c r="M3" s="12" t="n">
        <v>46275</v>
      </c>
      <c r="N3" s="5" t="inlineStr"/>
      <c r="O3" s="12" t="inlineStr"/>
      <c r="P3" s="5" t="inlineStr">
        <is>
          <t>EV-ACC-001</t>
        </is>
      </c>
    </row>
    <row r="4">
      <c r="A4" s="4" t="inlineStr">
        <is>
          <t>DEF-003</t>
        </is>
      </c>
      <c r="B4" s="5" t="inlineStr">
        <is>
          <t>SEC-12</t>
        </is>
      </c>
      <c r="C4" s="5" t="inlineStr">
        <is>
          <t>Security and Privacy</t>
        </is>
      </c>
      <c r="D4" s="5" t="inlineStr">
        <is>
          <t>Oversized multipart request creates an application after PHP drops the file</t>
        </is>
      </c>
      <c r="E4" s="5" t="inlineStr">
        <is>
          <t>High</t>
        </is>
      </c>
      <c r="F4" s="5" t="inlineStr">
        <is>
          <t>Submit a 10 MB + 1 byte application document to the deployed candidate application endpoint.</t>
        </is>
      </c>
      <c r="G4" s="5" t="inlineStr">
        <is>
          <t>The request is rejected before persistence because it exceeds the documented 10 MB limit.</t>
        </is>
      </c>
      <c r="H4" s="5" t="inlineStr">
        <is>
          <t>PHP post_max_size is 8 MB, emits a startup warning and drops the multipart fields; the controller then creates an application without the rejected document and returns a success body.</t>
        </is>
      </c>
      <c r="I4" s="5" t="inlineStr">
        <is>
          <t>The runtime post_max_size is lower than the application limit, and the controller does not reject an empty multipart body caused by request-size truncation.</t>
        </is>
      </c>
      <c r="J4" s="5" t="inlineStr">
        <is>
          <t>Pending: align PHP request limits above 10 MB and reject truncated/oversized requests before creating an application.</t>
        </is>
      </c>
      <c r="K4" s="5" t="inlineStr">
        <is>
          <t>Development Team</t>
        </is>
      </c>
      <c r="L4" s="5" t="inlineStr">
        <is>
          <t>Open</t>
        </is>
      </c>
      <c r="M4" s="12" t="n">
        <v>46275</v>
      </c>
      <c r="N4" s="5" t="inlineStr"/>
      <c r="O4" s="12" t="inlineStr"/>
      <c r="P4" s="5" t="inlineStr">
        <is>
          <t>EV-SEC-002</t>
        </is>
      </c>
    </row>
    <row r="5">
      <c r="A5" s="4" t="inlineStr">
        <is>
          <t>DEF-004</t>
        </is>
      </c>
      <c r="B5" s="5" t="inlineStr">
        <is>
          <t>AI-EN-C08, AI-EN-I01, AI-EN-I08, AI-FR-C01, AI-FR-C08, AI-FR-I01, AI-FR-I08</t>
        </is>
      </c>
      <c r="C5" s="5" t="inlineStr">
        <is>
          <t>AI Profile Suggestions</t>
        </is>
      </c>
      <c r="D5" s="5" t="inlineStr">
        <is>
          <t>AI intermittently omits the explicit work-and-training opportunity preference</t>
        </is>
      </c>
      <c r="E5" s="5" t="inlineStr">
        <is>
          <t>High</t>
        </is>
      </c>
      <c r="F5" s="5" t="inlineStr">
        <is>
          <t>Submit clean and imperfect English or French narratives that explicitly request both paid work and hospitality training.</t>
        </is>
      </c>
      <c r="G5" s="5" t="inlineStr">
        <is>
          <t>The structured opportunityPreference is always returned as both when the candidate explicitly requests both.</t>
        </is>
      </c>
      <c r="H5" s="5" t="inlineStr">
        <is>
          <t>Seven of sixty gold-standard cases omitted the both preference; other expected structured fields remained available.</t>
        </is>
      </c>
      <c r="I5" s="5" t="inlineStr">
        <is>
          <t>The generative extraction path does not deterministically normalize every explicit both-work-and-training phrase.</t>
        </is>
      </c>
      <c r="J5" s="5" t="inlineStr">
        <is>
          <t>Pending: add deterministic post-processing for explicit both phrases in all supported languages and rerun the 60-case matrix.</t>
        </is>
      </c>
      <c r="K5" s="5" t="inlineStr">
        <is>
          <t>Development Team</t>
        </is>
      </c>
      <c r="L5" s="5" t="inlineStr">
        <is>
          <t>Open</t>
        </is>
      </c>
      <c r="M5" s="12" t="n">
        <v>46275</v>
      </c>
      <c r="N5" s="5" t="inlineStr"/>
      <c r="O5" s="12" t="inlineStr"/>
      <c r="P5" s="5" t="inlineStr">
        <is>
          <t>EV-AI-002</t>
        </is>
      </c>
    </row>
    <row r="6">
      <c r="A6" s="4" t="inlineStr">
        <is>
          <t>DEF-005</t>
        </is>
      </c>
      <c r="B6" s="5" t="inlineStr">
        <is>
          <t>PERF-08-L10, PERF-09-L1, PERF-09-L5, PERF-09-L10</t>
        </is>
      </c>
      <c r="C6" s="5" t="inlineStr">
        <is>
          <t>Performance and Reliability</t>
        </is>
      </c>
      <c r="D6" s="5" t="inlineStr">
        <is>
          <t>Write-operation p95 exceeds the one-second staging target</t>
        </is>
      </c>
      <c r="E6" s="5" t="inlineStr">
        <is>
          <t>Medium</t>
        </is>
      </c>
      <c r="F6" s="5" t="inlineStr">
        <is>
          <t>Publish or submit unique valid records for three rounds at concurrency 1, 5 and 10.</t>
        </is>
      </c>
      <c r="G6" s="5" t="inlineStr">
        <is>
          <t>Each valid non-AI operation completes with p95 below one second and fewer than one percent 5xx responses.</t>
        </is>
      </c>
      <c r="H6" s="5" t="inlineStr">
        <is>
          <t>All 96 writes succeeded with zero 5xx responses, but publish L10 measured 1476.6 ms and application L1/L5/L10 measured 1216.6/4825.7/10685.9 ms p95.</t>
        </is>
      </c>
      <c r="I6" s="5" t="inlineStr">
        <is>
          <t>The synchronous application path includes scoring and persistence work; concurrent writes queue on the small free staging service/database.</t>
        </is>
      </c>
      <c r="J6" s="5" t="inlineStr">
        <is>
          <t>Pending: profile the application transaction and scoring call, optimize database writes, then rerun on the intended staging capacity.</t>
        </is>
      </c>
      <c r="K6" s="5" t="inlineStr">
        <is>
          <t>Development Team</t>
        </is>
      </c>
      <c r="L6" s="5" t="inlineStr">
        <is>
          <t>Open</t>
        </is>
      </c>
      <c r="M6" s="12" t="n">
        <v>46275</v>
      </c>
      <c r="N6" s="5" t="inlineStr"/>
      <c r="O6" s="12" t="inlineStr"/>
      <c r="P6" s="5" t="inlineStr">
        <is>
          <t>EV-PERF-005</t>
        </is>
      </c>
    </row>
    <row r="7">
      <c r="A7" s="4" t="inlineStr">
        <is>
          <t>DEF-006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12" t="inlineStr"/>
      <c r="N7" s="5" t="inlineStr"/>
      <c r="O7" s="12" t="inlineStr"/>
      <c r="P7" s="5" t="inlineStr"/>
    </row>
    <row r="8">
      <c r="A8" s="4" t="inlineStr">
        <is>
          <t>DEF-007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12" t="inlineStr"/>
      <c r="N8" s="5" t="inlineStr"/>
      <c r="O8" s="12" t="inlineStr"/>
      <c r="P8" s="5" t="inlineStr"/>
    </row>
    <row r="9">
      <c r="A9" s="4" t="inlineStr">
        <is>
          <t>DEF-008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12" t="inlineStr"/>
      <c r="N9" s="5" t="inlineStr"/>
      <c r="O9" s="12" t="inlineStr"/>
      <c r="P9" s="5" t="inlineStr"/>
    </row>
    <row r="10">
      <c r="A10" s="4" t="inlineStr">
        <is>
          <t>DEF-009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12" t="inlineStr"/>
      <c r="N10" s="5" t="inlineStr"/>
      <c r="O10" s="12" t="inlineStr"/>
      <c r="P10" s="5" t="inlineStr"/>
    </row>
    <row r="11">
      <c r="A11" s="4" t="inlineStr">
        <is>
          <t>DEF-010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12" t="inlineStr"/>
      <c r="N11" s="5" t="inlineStr"/>
      <c r="O11" s="12" t="inlineStr"/>
      <c r="P11" s="5" t="inlineStr"/>
    </row>
    <row r="12">
      <c r="A12" s="4" t="inlineStr">
        <is>
          <t>DEF-011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12" t="inlineStr"/>
      <c r="N12" s="5" t="inlineStr"/>
      <c r="O12" s="12" t="inlineStr"/>
      <c r="P12" s="5" t="inlineStr"/>
    </row>
    <row r="13">
      <c r="A13" s="4" t="inlineStr">
        <is>
          <t>DEF-012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12" t="inlineStr"/>
      <c r="N13" s="5" t="inlineStr"/>
      <c r="O13" s="12" t="inlineStr"/>
      <c r="P13" s="5" t="inlineStr"/>
    </row>
    <row r="14">
      <c r="A14" s="4" t="inlineStr">
        <is>
          <t>DEF-013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12" t="inlineStr"/>
      <c r="N14" s="5" t="inlineStr"/>
      <c r="O14" s="12" t="inlineStr"/>
      <c r="P14" s="5" t="inlineStr"/>
    </row>
    <row r="15">
      <c r="A15" s="4" t="inlineStr">
        <is>
          <t>DEF-014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12" t="inlineStr"/>
      <c r="N15" s="5" t="inlineStr"/>
      <c r="O15" s="12" t="inlineStr"/>
      <c r="P15" s="5" t="inlineStr"/>
    </row>
    <row r="16">
      <c r="A16" s="4" t="inlineStr">
        <is>
          <t>DEF-015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12" t="inlineStr"/>
      <c r="N16" s="5" t="inlineStr"/>
      <c r="O16" s="12" t="inlineStr"/>
      <c r="P16" s="5" t="inlineStr"/>
    </row>
    <row r="17">
      <c r="A17" s="4" t="inlineStr">
        <is>
          <t>DEF-016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12" t="inlineStr"/>
      <c r="N17" s="5" t="inlineStr"/>
      <c r="O17" s="12" t="inlineStr"/>
      <c r="P17" s="5" t="inlineStr"/>
    </row>
    <row r="18">
      <c r="A18" s="4" t="inlineStr">
        <is>
          <t>DEF-017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12" t="inlineStr"/>
      <c r="N18" s="5" t="inlineStr"/>
      <c r="O18" s="12" t="inlineStr"/>
      <c r="P18" s="5" t="inlineStr"/>
    </row>
    <row r="19">
      <c r="A19" s="4" t="inlineStr">
        <is>
          <t>DEF-018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12" t="inlineStr"/>
      <c r="N19" s="5" t="inlineStr"/>
      <c r="O19" s="12" t="inlineStr"/>
      <c r="P19" s="5" t="inlineStr"/>
    </row>
    <row r="20">
      <c r="A20" s="4" t="inlineStr">
        <is>
          <t>DEF-019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12" t="inlineStr"/>
      <c r="N20" s="5" t="inlineStr"/>
      <c r="O20" s="12" t="inlineStr"/>
      <c r="P20" s="5" t="inlineStr"/>
    </row>
    <row r="21">
      <c r="A21" s="4" t="inlineStr">
        <is>
          <t>DEF-020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12" t="inlineStr"/>
      <c r="N21" s="5" t="inlineStr"/>
      <c r="O21" s="12" t="inlineStr"/>
      <c r="P21" s="5" t="inlineStr"/>
    </row>
    <row r="22">
      <c r="A22" s="4" t="inlineStr">
        <is>
          <t>DEF-021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12" t="inlineStr"/>
      <c r="N22" s="5" t="inlineStr"/>
      <c r="O22" s="12" t="inlineStr"/>
      <c r="P22" s="5" t="inlineStr"/>
    </row>
    <row r="23">
      <c r="A23" s="4" t="inlineStr">
        <is>
          <t>DEF-022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12" t="inlineStr"/>
      <c r="N23" s="5" t="inlineStr"/>
      <c r="O23" s="12" t="inlineStr"/>
      <c r="P23" s="5" t="inlineStr"/>
    </row>
    <row r="24">
      <c r="A24" s="4" t="inlineStr">
        <is>
          <t>DEF-023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12" t="inlineStr"/>
      <c r="N24" s="5" t="inlineStr"/>
      <c r="O24" s="12" t="inlineStr"/>
      <c r="P24" s="5" t="inlineStr"/>
    </row>
    <row r="25">
      <c r="A25" s="4" t="inlineStr">
        <is>
          <t>DEF-024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12" t="inlineStr"/>
      <c r="N25" s="5" t="inlineStr"/>
      <c r="O25" s="12" t="inlineStr"/>
      <c r="P25" s="5" t="inlineStr"/>
    </row>
    <row r="26">
      <c r="A26" s="4" t="inlineStr">
        <is>
          <t>DEF-025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12" t="inlineStr"/>
      <c r="N26" s="5" t="inlineStr"/>
      <c r="O26" s="12" t="inlineStr"/>
      <c r="P26" s="5" t="inlineStr"/>
    </row>
    <row r="27">
      <c r="A27" s="4" t="inlineStr">
        <is>
          <t>DEF-026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12" t="inlineStr"/>
      <c r="N27" s="5" t="inlineStr"/>
      <c r="O27" s="12" t="inlineStr"/>
      <c r="P27" s="5" t="inlineStr"/>
    </row>
    <row r="28">
      <c r="A28" s="4" t="inlineStr">
        <is>
          <t>DEF-027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12" t="inlineStr"/>
      <c r="N28" s="5" t="inlineStr"/>
      <c r="O28" s="12" t="inlineStr"/>
      <c r="P28" s="5" t="inlineStr"/>
    </row>
    <row r="29">
      <c r="A29" s="4" t="inlineStr">
        <is>
          <t>DEF-028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12" t="inlineStr"/>
      <c r="N29" s="5" t="inlineStr"/>
      <c r="O29" s="12" t="inlineStr"/>
      <c r="P29" s="5" t="inlineStr"/>
    </row>
    <row r="30">
      <c r="A30" s="4" t="inlineStr">
        <is>
          <t>DEF-029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12" t="inlineStr"/>
      <c r="N30" s="5" t="inlineStr"/>
      <c r="O30" s="12" t="inlineStr"/>
      <c r="P30" s="5" t="inlineStr"/>
    </row>
    <row r="31">
      <c r="A31" s="4" t="inlineStr">
        <is>
          <t>DEF-030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12" t="inlineStr"/>
      <c r="N31" s="5" t="inlineStr"/>
      <c r="O31" s="12" t="inlineStr"/>
      <c r="P31" s="5" t="inlineStr"/>
    </row>
  </sheetData>
  <autoFilter ref="A1:P31"/>
  <dataValidations count="3">
    <dataValidation sqref="E2:E1000" showDropDown="0" showInputMessage="0" showErrorMessage="0" allowBlank="1" errorTitle="Invalid value" error="Choose a value from the list." promptTitle="Controlled field" prompt="Select one of the controlled values." type="list">
      <formula1>=Lists!$C$2:$C$6</formula1>
    </dataValidation>
    <dataValidation sqref="K2:K1000" showDropDown="0" showInputMessage="0" showErrorMessage="0" allowBlank="1" errorTitle="Invalid value" error="Choose a value from the list." promptTitle="Controlled field" prompt="Select one of the controlled values." type="list">
      <formula1>=Lists!$E$2:$E$4</formula1>
    </dataValidation>
    <dataValidation sqref="L2:L1000" showDropDown="0" showInputMessage="0" showErrorMessage="0" allowBlank="1" errorTitle="Invalid value" error="Choose a value from the list." promptTitle="Controlled field" prompt="Select one of the controlled values." type="list">
      <formula1>=Lists!$F$2:$F$6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55" customWidth="1" min="4" max="4"/>
    <col width="48" customWidth="1" min="5" max="5"/>
    <col width="16" customWidth="1" min="6" max="6"/>
    <col width="14" customWidth="1" min="7" max="7"/>
    <col width="14" customWidth="1" min="8" max="8"/>
    <col width="34" customWidth="1" min="9" max="9"/>
  </cols>
  <sheetData>
    <row r="1">
      <c r="A1" s="3" t="inlineStr">
        <is>
          <t>Evidence ID</t>
        </is>
      </c>
      <c r="B1" s="3" t="inlineStr">
        <is>
          <t>Related Test ID(s)</t>
        </is>
      </c>
      <c r="C1" s="3" t="inlineStr">
        <is>
          <t>Evidence Type</t>
        </is>
      </c>
      <c r="D1" s="3" t="inlineStr">
        <is>
          <t>File Path / URL</t>
        </is>
      </c>
      <c r="E1" s="3" t="inlineStr">
        <is>
          <t>Description</t>
        </is>
      </c>
      <c r="F1" s="3" t="inlineStr">
        <is>
          <t>Captured Date</t>
        </is>
      </c>
      <c r="G1" s="3" t="inlineStr">
        <is>
          <t>Owner</t>
        </is>
      </c>
      <c r="H1" s="3" t="inlineStr">
        <is>
          <t>Verified</t>
        </is>
      </c>
      <c r="I1" s="3" t="inlineStr">
        <is>
          <t>Notes</t>
        </is>
      </c>
    </row>
    <row r="2">
      <c r="A2" s="4" t="inlineStr">
        <is>
          <t>EV-I18N-001</t>
        </is>
      </c>
      <c r="B2" s="5" t="inlineStr">
        <is>
          <t>I18N-01-EN, I18N-01-FR, I18N-01-AR</t>
        </is>
      </c>
      <c r="C2" s="5" t="inlineStr">
        <is>
          <t>JSON report</t>
        </is>
      </c>
      <c r="D2" s="5" t="inlineStr">
        <is>
          <t>docs/testing/staging-2026-09-10/i18n-results.json</t>
        </is>
      </c>
      <c r="E2" s="5" t="inlineStr">
        <is>
          <t>Translation contract and deployed language, direction, persistence, reflow and voice-language synchronization checks.</t>
        </is>
      </c>
      <c r="F2" s="12" t="n">
        <v>46275</v>
      </c>
      <c r="G2" s="5" t="inlineStr">
        <is>
          <t>Development Team</t>
        </is>
      </c>
      <c r="H2" s="5" t="inlineStr">
        <is>
          <t>Yes</t>
        </is>
      </c>
      <c r="I2" s="5" t="inlineStr">
        <is>
          <t>Only the three sign-in language rows are scored in this first batch.</t>
        </is>
      </c>
    </row>
    <row r="3">
      <c r="A3" s="4" t="inlineStr">
        <is>
          <t>EV-MATCH-001</t>
        </is>
      </c>
      <c r="B3" s="5" t="inlineStr">
        <is>
          <t>ME-01-1 through ME-15-3</t>
        </is>
      </c>
      <c r="C3" s="5" t="inlineStr">
        <is>
          <t>JSON report</t>
        </is>
      </c>
      <c r="D3" s="5" t="inlineStr">
        <is>
          <t>docs/testing/staging-2026-09-10/matching-quality-results.json</t>
        </is>
      </c>
      <c r="E3" s="5" t="inlineStr">
        <is>
          <t>45 deployed matching cases across 15 roles and three synthetic candidate conditions; independent formula oracle and repeated determinism check.</t>
        </is>
      </c>
      <c r="F3" s="12" t="n">
        <v>46275</v>
      </c>
      <c r="G3" s="5" t="inlineStr">
        <is>
          <t>Development Team</t>
        </is>
      </c>
      <c r="H3" s="5" t="inlineStr">
        <is>
          <t>Yes</t>
        </is>
      </c>
      <c r="I3" s="5" t="inlineStr">
        <is>
          <t>45/45 passed after three disposable requirement/support fixtures supplied the missing scenario preconditions; all fixtures were deleted afterward.</t>
        </is>
      </c>
    </row>
    <row r="4">
      <c r="A4" s="4" t="inlineStr">
        <is>
          <t>EV-AI-001</t>
        </is>
      </c>
      <c r="B4" s="5" t="inlineStr">
        <is>
          <t>Historical AI service recovery evidence</t>
        </is>
      </c>
      <c r="C4" s="5" t="inlineStr">
        <is>
          <t>JSON report</t>
        </is>
      </c>
      <c r="D4" s="5" t="inlineStr">
        <is>
          <t>docs/testing/staging-2026-09-10/profile-ai/ai-service-probe.json</t>
        </is>
      </c>
      <c r="E4" s="5" t="inlineStr">
        <is>
          <t>Historical AI availability probe retained to document the transient 503 condition before the service recovered.</t>
        </is>
      </c>
      <c r="F4" s="12" t="n">
        <v>46275</v>
      </c>
      <c r="G4" s="5" t="inlineStr">
        <is>
          <t>Development Team</t>
        </is>
      </c>
      <c r="H4" s="5" t="inlineStr">
        <is>
          <t>Yes</t>
        </is>
      </c>
      <c r="I4" s="5" t="inlineStr">
        <is>
          <t>Superseded by EV-AI-002 after a successful service recovery check and complete 60-case execution.</t>
        </is>
      </c>
    </row>
    <row r="5">
      <c r="A5" s="4" t="inlineStr">
        <is>
          <t>EV-SEC-001</t>
        </is>
      </c>
      <c r="B5" s="5" t="inlineStr">
        <is>
          <t>Supporting prerequisite evidence</t>
        </is>
      </c>
      <c r="C5" s="5" t="inlineStr">
        <is>
          <t>Terminal log</t>
        </is>
      </c>
      <c r="D5" s="5" t="inlineStr">
        <is>
          <t>docs/testing/staging-2026-09-10/security-route-audit.txt</t>
        </is>
      </c>
      <c r="E5" s="5" t="inlineStr">
        <is>
          <t>51 anonymous, forged-token, cross-role, valid-role and public-route authorization checks against the deployed API.</t>
        </is>
      </c>
      <c r="F5" s="12" t="n">
        <v>46275</v>
      </c>
      <c r="G5" s="5" t="inlineStr">
        <is>
          <t>Development Team</t>
        </is>
      </c>
      <c r="H5" s="5" t="inlineStr">
        <is>
          <t>Yes</t>
        </is>
      </c>
      <c r="I5" s="5" t="inlineStr">
        <is>
          <t>51/51 passed. Kept separate from output-quality percentages as requested.</t>
        </is>
      </c>
    </row>
    <row r="6">
      <c r="A6" s="4" t="inlineStr">
        <is>
          <t>EV-I18N-002</t>
        </is>
      </c>
      <c r="B6" s="5" t="inlineStr">
        <is>
          <t>I18N-01-EN through I18N-06-AR</t>
        </is>
      </c>
      <c r="C6" s="5" t="inlineStr">
        <is>
          <t>JSON report</t>
        </is>
      </c>
      <c r="D6" s="5" t="inlineStr">
        <is>
          <t>docs/testing/staging-2026-09-10/i18n-quality-results.json</t>
        </is>
      </c>
      <c r="E6" s="5" t="inlineStr">
        <is>
          <t>18 deployed multilingual/RTL output cases across six screens and three interface languages.</t>
        </is>
      </c>
      <c r="F6" s="12" t="n">
        <v>46275</v>
      </c>
      <c r="G6" s="5" t="inlineStr">
        <is>
          <t>Development Team</t>
        </is>
      </c>
      <c r="H6" s="5" t="inlineStr">
        <is>
          <t>Yes</t>
        </is>
      </c>
      <c r="I6" s="5" t="inlineStr">
        <is>
          <t>18/18 passed.</t>
        </is>
      </c>
    </row>
    <row r="7">
      <c r="A7" s="4" t="inlineStr">
        <is>
          <t>EV-PERF-001</t>
        </is>
      </c>
      <c r="B7" s="5" t="inlineStr">
        <is>
          <t>PERF-01, PERF-02 and PERF-07 groups</t>
        </is>
      </c>
      <c r="C7" s="5" t="inlineStr">
        <is>
          <t>JSON report</t>
        </is>
      </c>
      <c r="D7" s="5" t="inlineStr">
        <is>
          <t>docs/testing/staging-2026-09-10/safe-load-results.json</t>
        </is>
      </c>
      <c r="E7" s="5" t="inlineStr">
        <is>
          <t>Non-destructive API measurements at concurrency levels 1, 5 and 10; three rounds per level.</t>
        </is>
      </c>
      <c r="F7" s="12" t="n">
        <v>46275</v>
      </c>
      <c r="G7" s="5" t="inlineStr">
        <is>
          <t>Development Team</t>
        </is>
      </c>
      <c r="H7" s="5" t="inlineStr">
        <is>
          <t>Yes</t>
        </is>
      </c>
      <c r="I7" s="5" t="inlineStr">
        <is>
          <t>All requests returned correctly with zero 5xx responses; several cases exceeded the latency thresholds.</t>
        </is>
      </c>
    </row>
    <row r="8">
      <c r="A8" s="4" t="inlineStr">
        <is>
          <t>EV-PERF-002</t>
        </is>
      </c>
      <c r="B8" s="5" t="inlineStr">
        <is>
          <t>PERF-07-L1 and deployed page/API baseline</t>
        </is>
      </c>
      <c r="C8" s="5" t="inlineStr">
        <is>
          <t>JSON report</t>
        </is>
      </c>
      <c r="D8" s="5" t="inlineStr">
        <is>
          <t>docs/testing/staging-2026-09-10/performance-results.json</t>
        </is>
      </c>
      <c r="E8" s="5" t="inlineStr">
        <is>
          <t>Five-sample deployed API and page timing baseline plus production bundle-size checks.</t>
        </is>
      </c>
      <c r="F8" s="12" t="n">
        <v>46275</v>
      </c>
      <c r="G8" s="5" t="inlineStr">
        <is>
          <t>Development Team</t>
        </is>
      </c>
      <c r="H8" s="5" t="inlineStr">
        <is>
          <t>Yes</t>
        </is>
      </c>
      <c r="I8" s="5" t="inlineStr">
        <is>
          <t>Public jobs API p95 exceeded the 1000 ms project target; other measured APIs, pages and bundles met their budgets.</t>
        </is>
      </c>
    </row>
    <row r="9">
      <c r="A9" s="4" t="inlineStr">
        <is>
          <t>EV-PERF-003</t>
        </is>
      </c>
      <c r="B9" s="5" t="inlineStr">
        <is>
          <t>PERF-03-L1 through PERF-03-L10; PERF-06-L1 through PERF-06-L10</t>
        </is>
      </c>
      <c r="C9" s="5" t="inlineStr">
        <is>
          <t>JSON report</t>
        </is>
      </c>
      <c r="D9" s="5" t="inlineStr">
        <is>
          <t>docs/testing/staging-2026-09-10/stateful-load-results.json</t>
        </is>
      </c>
      <c r="E9" s="5" t="inlineStr">
        <is>
          <t>Idempotent candidate-profile save and deterministic matching measurements at concurrency levels 1, 5 and 10.</t>
        </is>
      </c>
      <c r="F9" s="12" t="n">
        <v>46275</v>
      </c>
      <c r="G9" s="5" t="inlineStr">
        <is>
          <t>Development Team</t>
        </is>
      </c>
      <c r="H9" s="5" t="inlineStr">
        <is>
          <t>Yes</t>
        </is>
      </c>
      <c r="I9" s="5" t="inlineStr">
        <is>
          <t>Synthetic candidate data was reset. Concurrent saves produced 5xx errors at loads 5 and 10; matching load 10 exceeded its latency threshold.</t>
        </is>
      </c>
    </row>
    <row r="10">
      <c r="A10" s="4" t="inlineStr">
        <is>
          <t>EV-SEC-002</t>
        </is>
      </c>
      <c r="B10" s="5" t="inlineStr">
        <is>
          <t>SEC-01 through SEC-20</t>
        </is>
      </c>
      <c r="C10" s="5" t="inlineStr">
        <is>
          <t>JSON report</t>
        </is>
      </c>
      <c r="D10" s="5" t="inlineStr">
        <is>
          <t>docs/testing/staging-2026-09-10/security-quality-results.json</t>
        </is>
      </c>
      <c r="E10" s="5" t="inlineStr">
        <is>
          <t>Twenty deployed negative security/privacy scenarios covering JWT validation, role isolation, object/document access, input and upload validation, duplicate applications, consent, controlled IDs, voice authorization and profile reset.</t>
        </is>
      </c>
      <c r="F10" s="12" t="n">
        <v>46275</v>
      </c>
      <c r="G10" s="5" t="inlineStr">
        <is>
          <t>Development Team</t>
        </is>
      </c>
      <c r="H10" s="5" t="inlineStr">
        <is>
          <t>Yes</t>
        </is>
      </c>
      <c r="I10" s="5" t="inlineStr">
        <is>
          <t>18 passed, 1 failed and 1 blocked. Synthetic application/profile data was cleaned after execution.</t>
        </is>
      </c>
    </row>
    <row r="11">
      <c r="A11" s="4" t="inlineStr">
        <is>
          <t>EV-ACC-001</t>
        </is>
      </c>
      <c r="B11" s="5" t="inlineStr">
        <is>
          <t>Supporting accessibility evidence</t>
        </is>
      </c>
      <c r="C11" s="5" t="inlineStr">
        <is>
          <t>JSON report</t>
        </is>
      </c>
      <c r="D11" s="5" t="inlineStr">
        <is>
          <t>docs/testing/staging-2026-09-10/wcag-deployed-results.json</t>
        </is>
      </c>
      <c r="E11" s="5" t="inlineStr">
        <is>
          <t>Automated WCAG 2.1 A/AA, responsive reflow, text-spacing, keyboard-tab and browser-error evidence across 13 deployed routes and eight layouts, with 104 screenshots.</t>
        </is>
      </c>
      <c r="F11" s="12" t="n">
        <v>46275</v>
      </c>
      <c r="G11" s="5" t="inlineStr">
        <is>
          <t>Development Team</t>
        </is>
      </c>
      <c r="H11" s="5" t="inlineStr">
        <is>
          <t>Yes</t>
        </is>
      </c>
      <c r="I11" s="5" t="inlineStr">
        <is>
          <t>104 scenarios; 0 scan errors, 16 scenarios with axe findings and 2 with horizontal overflow. Automated evidence does not replace manual journey or screen-reader testing.</t>
        </is>
      </c>
    </row>
    <row r="12">
      <c r="A12" s="4" t="inlineStr">
        <is>
          <t>EV-AI-002</t>
        </is>
      </c>
      <c r="B12" s="5" t="inlineStr">
        <is>
          <t>AI-EN-C01 through AI-AR-I10</t>
        </is>
      </c>
      <c r="C12" s="5" t="inlineStr">
        <is>
          <t>JSON report</t>
        </is>
      </c>
      <c r="D12" s="5" t="inlineStr">
        <is>
          <t>docs/testing/staging-2026-09-10/profile-ai/ai-quality-matrix-results.json</t>
        </is>
      </c>
      <c r="E12" s="5" t="inlineStr">
        <is>
          <t>Sixty gold-standard clean and imperfect profile narratives across English, French and Arabic, evaluated against structured field, ability, preference, disability, position, task and safety expectations.</t>
        </is>
      </c>
      <c r="F12" s="12" t="n">
        <v>46275</v>
      </c>
      <c r="G12" s="5" t="inlineStr">
        <is>
          <t>Development Team</t>
        </is>
      </c>
      <c r="H12" s="5" t="inlineStr">
        <is>
          <t>Yes</t>
        </is>
      </c>
      <c r="I12" s="5" t="inlineStr">
        <is>
          <t>53/60 passed, 7 failed and 0 blocked; no suggestion was persisted during the matrix.</t>
        </is>
      </c>
    </row>
    <row r="13">
      <c r="A13" s="4" t="inlineStr">
        <is>
          <t>EV-AI-003</t>
        </is>
      </c>
      <c r="B13" s="5" t="inlineStr">
        <is>
          <t>WF-CAN-03 representative browser confirmation</t>
        </is>
      </c>
      <c r="C13" s="5" t="inlineStr">
        <is>
          <t>Screenshots and JSON report</t>
        </is>
      </c>
      <c r="D13" s="5" t="inlineStr">
        <is>
          <t>docs/testing/staging-2026-09-10/profile-ai/screenshots-en-confirmed/</t>
        </is>
      </c>
      <c r="E13" s="5" t="inlineStr">
        <is>
          <t>Representative deployed browser journey showing consent, editable structured suggestions, confirmation and saved-profile verification.</t>
        </is>
      </c>
      <c r="F13" s="12" t="n">
        <v>46275</v>
      </c>
      <c r="G13" s="5" t="inlineStr">
        <is>
          <t>Development Team</t>
        </is>
      </c>
      <c r="H13" s="5" t="inlineStr">
        <is>
          <t>Yes</t>
        </is>
      </c>
      <c r="I13" s="5" t="inlineStr">
        <is>
          <t>The synthetic candidate profile was reset after verification.</t>
        </is>
      </c>
    </row>
    <row r="14">
      <c r="A14" s="4" t="inlineStr">
        <is>
          <t>EV-WF-001</t>
        </is>
      </c>
      <c r="B14" s="5" t="inlineStr">
        <is>
          <t>WF-PUB-01 through WF-ADM-03</t>
        </is>
      </c>
      <c r="C14" s="5" t="inlineStr">
        <is>
          <t>JSON reports</t>
        </is>
      </c>
      <c r="D14" s="5" t="inlineStr">
        <is>
          <t>docs/testing/staging-2026-09-10/workflow-quality-results.json</t>
        </is>
      </c>
      <c r="E14" s="5" t="inlineStr">
        <is>
          <t>Deployed public, candidate, employer and administrator workflow outputs, supported by prepared integration and browser E2E reports.</t>
        </is>
      </c>
      <c r="F14" s="12" t="n">
        <v>46275</v>
      </c>
      <c r="G14" s="5" t="inlineStr">
        <is>
          <t>Development Team</t>
        </is>
      </c>
      <c r="H14" s="5" t="inlineStr">
        <is>
          <t>Yes</t>
        </is>
      </c>
      <c r="I14" s="5" t="inlineStr">
        <is>
          <t>Synthetic profile, applications and opportunities were removed after execution; isolated email verification and catalogue replacement remain blocked.</t>
        </is>
      </c>
    </row>
    <row r="15">
      <c r="A15" s="4" t="inlineStr">
        <is>
          <t>EV-WF-002</t>
        </is>
      </c>
      <c r="B15" s="5" t="inlineStr">
        <is>
          <t>WF-VER-01 through WF-VER-03</t>
        </is>
      </c>
      <c r="C15" s="5" t="inlineStr">
        <is>
          <t>JSON report</t>
        </is>
      </c>
      <c r="D15" s="5" t="inlineStr">
        <is>
          <t>docs/testing/staging-2026-09-10/verifier-workflow-results.json</t>
        </is>
      </c>
      <c r="E15" s="5" t="inlineStr">
        <is>
          <t>Deployed verifier document retrieval, approval and rejection using two disposable candidate accounts and synthetic private PDF evidence.</t>
        </is>
      </c>
      <c r="F15" s="12" t="n">
        <v>46275</v>
      </c>
      <c r="G15" s="5" t="inlineStr">
        <is>
          <t>Development Team</t>
        </is>
      </c>
      <c r="H15" s="5" t="inlineStr">
        <is>
          <t>Yes</t>
        </is>
      </c>
      <c r="I15" s="5" t="inlineStr">
        <is>
          <t>3/3 passed; both disposable accounts and private documents were deleted afterward.</t>
        </is>
      </c>
    </row>
    <row r="16">
      <c r="A16" s="4" t="inlineStr">
        <is>
          <t>EV-PERF-004</t>
        </is>
      </c>
      <c r="B16" s="5" t="inlineStr">
        <is>
          <t>PERF-04-L1 through PERF-04-L10</t>
        </is>
      </c>
      <c r="C16" s="5" t="inlineStr">
        <is>
          <t>JSON reports</t>
        </is>
      </c>
      <c r="D16" s="5" t="inlineStr">
        <is>
          <t>docs/testing/staging-2026-09-10/ai-performance-results.json</t>
        </is>
      </c>
      <c r="E16" s="5" t="inlineStr">
        <is>
          <t>Deployed AI suggestion load attempt at concurrency 1, 5 and 10 plus a post-run dependency probe.</t>
        </is>
      </c>
      <c r="F16" s="12" t="n">
        <v>46275</v>
      </c>
      <c r="G16" s="5" t="inlineStr">
        <is>
          <t>Development Team</t>
        </is>
      </c>
      <c r="H16" s="5" t="inlineStr">
        <is>
          <t>Yes</t>
        </is>
      </c>
      <c r="I16" s="5" t="inlineStr">
        <is>
          <t>All 48 attempts returned HTTP 503; a post-run probe confirmed the same condition while API health remained 200. These three cases remain Blocked rather than Fail because no inference output was available to time.</t>
        </is>
      </c>
    </row>
    <row r="17">
      <c r="A17" s="4" t="inlineStr">
        <is>
          <t>EV-PERF-005</t>
        </is>
      </c>
      <c r="B17" s="5" t="inlineStr">
        <is>
          <t>PERF-08-L1 through PERF-09-L10</t>
        </is>
      </c>
      <c r="C17" s="5" t="inlineStr">
        <is>
          <t>JSON report</t>
        </is>
      </c>
      <c r="D17" s="5" t="inlineStr">
        <is>
          <t>docs/testing/staging-2026-09-10/mutation-performance-results.json</t>
        </is>
      </c>
      <c r="E17" s="5" t="inlineStr">
        <is>
          <t>Opportunity publishing and application submission at concurrency 1, 5 and 10, with three rounds and a unique disposable record per request.</t>
        </is>
      </c>
      <c r="F17" s="12" t="n">
        <v>46275</v>
      </c>
      <c r="G17" s="5" t="inlineStr">
        <is>
          <t>Development Team</t>
        </is>
      </c>
      <c r="H17" s="5" t="inlineStr">
        <is>
          <t>Yes</t>
        </is>
      </c>
      <c r="I17" s="5" t="inlineStr">
        <is>
          <t>96/96 mutations returned the correct HTTP 201 output with zero 5xx responses; two publish cases met latency and four cases exceeded the one-second target. All applications, jobs and profile data were removed.</t>
        </is>
      </c>
    </row>
    <row r="18">
      <c r="A18" s="4" t="inlineStr">
        <is>
          <t>EV-017</t>
        </is>
      </c>
      <c r="B18" s="5" t="inlineStr"/>
      <c r="C18" s="5" t="inlineStr"/>
      <c r="D18" s="5" t="inlineStr"/>
      <c r="E18" s="5" t="inlineStr"/>
      <c r="F18" s="12" t="inlineStr"/>
      <c r="G18" s="5" t="inlineStr"/>
      <c r="H18" s="5" t="inlineStr"/>
      <c r="I18" s="5" t="inlineStr"/>
    </row>
    <row r="19">
      <c r="A19" s="4" t="inlineStr">
        <is>
          <t>EV-018</t>
        </is>
      </c>
      <c r="B19" s="5" t="inlineStr"/>
      <c r="C19" s="5" t="inlineStr"/>
      <c r="D19" s="5" t="inlineStr"/>
      <c r="E19" s="5" t="inlineStr"/>
      <c r="F19" s="12" t="inlineStr"/>
      <c r="G19" s="5" t="inlineStr"/>
      <c r="H19" s="5" t="inlineStr"/>
      <c r="I19" s="5" t="inlineStr"/>
    </row>
    <row r="20">
      <c r="A20" s="4" t="inlineStr">
        <is>
          <t>EV-019</t>
        </is>
      </c>
      <c r="B20" s="5" t="inlineStr"/>
      <c r="C20" s="5" t="inlineStr"/>
      <c r="D20" s="5" t="inlineStr"/>
      <c r="E20" s="5" t="inlineStr"/>
      <c r="F20" s="12" t="inlineStr"/>
      <c r="G20" s="5" t="inlineStr"/>
      <c r="H20" s="5" t="inlineStr"/>
      <c r="I20" s="5" t="inlineStr"/>
    </row>
    <row r="21">
      <c r="A21" s="4" t="inlineStr">
        <is>
          <t>EV-020</t>
        </is>
      </c>
      <c r="B21" s="5" t="inlineStr"/>
      <c r="C21" s="5" t="inlineStr"/>
      <c r="D21" s="5" t="inlineStr"/>
      <c r="E21" s="5" t="inlineStr"/>
      <c r="F21" s="12" t="inlineStr"/>
      <c r="G21" s="5" t="inlineStr"/>
      <c r="H21" s="5" t="inlineStr"/>
      <c r="I21" s="5" t="inlineStr"/>
    </row>
    <row r="22">
      <c r="A22" s="4" t="inlineStr">
        <is>
          <t>EV-021</t>
        </is>
      </c>
      <c r="B22" s="5" t="inlineStr"/>
      <c r="C22" s="5" t="inlineStr"/>
      <c r="D22" s="5" t="inlineStr"/>
      <c r="E22" s="5" t="inlineStr"/>
      <c r="F22" s="12" t="inlineStr"/>
      <c r="G22" s="5" t="inlineStr"/>
      <c r="H22" s="5" t="inlineStr"/>
      <c r="I22" s="5" t="inlineStr"/>
    </row>
    <row r="23">
      <c r="A23" s="4" t="inlineStr">
        <is>
          <t>EV-022</t>
        </is>
      </c>
      <c r="B23" s="5" t="inlineStr"/>
      <c r="C23" s="5" t="inlineStr"/>
      <c r="D23" s="5" t="inlineStr"/>
      <c r="E23" s="5" t="inlineStr"/>
      <c r="F23" s="12" t="inlineStr"/>
      <c r="G23" s="5" t="inlineStr"/>
      <c r="H23" s="5" t="inlineStr"/>
      <c r="I23" s="5" t="inlineStr"/>
    </row>
    <row r="24">
      <c r="A24" s="4" t="inlineStr">
        <is>
          <t>EV-023</t>
        </is>
      </c>
      <c r="B24" s="5" t="inlineStr"/>
      <c r="C24" s="5" t="inlineStr"/>
      <c r="D24" s="5" t="inlineStr"/>
      <c r="E24" s="5" t="inlineStr"/>
      <c r="F24" s="12" t="inlineStr"/>
      <c r="G24" s="5" t="inlineStr"/>
      <c r="H24" s="5" t="inlineStr"/>
      <c r="I24" s="5" t="inlineStr"/>
    </row>
    <row r="25">
      <c r="A25" s="4" t="inlineStr">
        <is>
          <t>EV-024</t>
        </is>
      </c>
      <c r="B25" s="5" t="inlineStr"/>
      <c r="C25" s="5" t="inlineStr"/>
      <c r="D25" s="5" t="inlineStr"/>
      <c r="E25" s="5" t="inlineStr"/>
      <c r="F25" s="12" t="inlineStr"/>
      <c r="G25" s="5" t="inlineStr"/>
      <c r="H25" s="5" t="inlineStr"/>
      <c r="I25" s="5" t="inlineStr"/>
    </row>
    <row r="26">
      <c r="A26" s="4" t="inlineStr">
        <is>
          <t>EV-025</t>
        </is>
      </c>
      <c r="B26" s="5" t="inlineStr"/>
      <c r="C26" s="5" t="inlineStr"/>
      <c r="D26" s="5" t="inlineStr"/>
      <c r="E26" s="5" t="inlineStr"/>
      <c r="F26" s="12" t="inlineStr"/>
      <c r="G26" s="5" t="inlineStr"/>
      <c r="H26" s="5" t="inlineStr"/>
      <c r="I26" s="5" t="inlineStr"/>
    </row>
    <row r="27">
      <c r="A27" s="4" t="inlineStr">
        <is>
          <t>EV-026</t>
        </is>
      </c>
      <c r="B27" s="5" t="inlineStr"/>
      <c r="C27" s="5" t="inlineStr"/>
      <c r="D27" s="5" t="inlineStr"/>
      <c r="E27" s="5" t="inlineStr"/>
      <c r="F27" s="12" t="inlineStr"/>
      <c r="G27" s="5" t="inlineStr"/>
      <c r="H27" s="5" t="inlineStr"/>
      <c r="I27" s="5" t="inlineStr"/>
    </row>
    <row r="28">
      <c r="A28" s="4" t="inlineStr">
        <is>
          <t>EV-027</t>
        </is>
      </c>
      <c r="B28" s="5" t="inlineStr"/>
      <c r="C28" s="5" t="inlineStr"/>
      <c r="D28" s="5" t="inlineStr"/>
      <c r="E28" s="5" t="inlineStr"/>
      <c r="F28" s="12" t="inlineStr"/>
      <c r="G28" s="5" t="inlineStr"/>
      <c r="H28" s="5" t="inlineStr"/>
      <c r="I28" s="5" t="inlineStr"/>
    </row>
    <row r="29">
      <c r="A29" s="4" t="inlineStr">
        <is>
          <t>EV-028</t>
        </is>
      </c>
      <c r="B29" s="5" t="inlineStr"/>
      <c r="C29" s="5" t="inlineStr"/>
      <c r="D29" s="5" t="inlineStr"/>
      <c r="E29" s="5" t="inlineStr"/>
      <c r="F29" s="12" t="inlineStr"/>
      <c r="G29" s="5" t="inlineStr"/>
      <c r="H29" s="5" t="inlineStr"/>
      <c r="I29" s="5" t="inlineStr"/>
    </row>
    <row r="30">
      <c r="A30" s="4" t="inlineStr">
        <is>
          <t>EV-029</t>
        </is>
      </c>
      <c r="B30" s="5" t="inlineStr"/>
      <c r="C30" s="5" t="inlineStr"/>
      <c r="D30" s="5" t="inlineStr"/>
      <c r="E30" s="5" t="inlineStr"/>
      <c r="F30" s="12" t="inlineStr"/>
      <c r="G30" s="5" t="inlineStr"/>
      <c r="H30" s="5" t="inlineStr"/>
      <c r="I30" s="5" t="inlineStr"/>
    </row>
    <row r="31">
      <c r="A31" s="4" t="inlineStr">
        <is>
          <t>EV-030</t>
        </is>
      </c>
      <c r="B31" s="5" t="inlineStr"/>
      <c r="C31" s="5" t="inlineStr"/>
      <c r="D31" s="5" t="inlineStr"/>
      <c r="E31" s="5" t="inlineStr"/>
      <c r="F31" s="12" t="inlineStr"/>
      <c r="G31" s="5" t="inlineStr"/>
      <c r="H31" s="5" t="inlineStr"/>
      <c r="I31" s="5" t="inlineStr"/>
    </row>
    <row r="32">
      <c r="A32" s="4" t="inlineStr">
        <is>
          <t>EV-031</t>
        </is>
      </c>
      <c r="B32" s="5" t="inlineStr"/>
      <c r="C32" s="5" t="inlineStr"/>
      <c r="D32" s="5" t="inlineStr"/>
      <c r="E32" s="5" t="inlineStr"/>
      <c r="F32" s="12" t="inlineStr"/>
      <c r="G32" s="5" t="inlineStr"/>
      <c r="H32" s="5" t="inlineStr"/>
      <c r="I32" s="5" t="inlineStr"/>
    </row>
    <row r="33">
      <c r="A33" s="4" t="inlineStr">
        <is>
          <t>EV-032</t>
        </is>
      </c>
      <c r="B33" s="5" t="inlineStr"/>
      <c r="C33" s="5" t="inlineStr"/>
      <c r="D33" s="5" t="inlineStr"/>
      <c r="E33" s="5" t="inlineStr"/>
      <c r="F33" s="12" t="inlineStr"/>
      <c r="G33" s="5" t="inlineStr"/>
      <c r="H33" s="5" t="inlineStr"/>
      <c r="I33" s="5" t="inlineStr"/>
    </row>
    <row r="34">
      <c r="A34" s="4" t="inlineStr">
        <is>
          <t>EV-033</t>
        </is>
      </c>
      <c r="B34" s="5" t="inlineStr"/>
      <c r="C34" s="5" t="inlineStr"/>
      <c r="D34" s="5" t="inlineStr"/>
      <c r="E34" s="5" t="inlineStr"/>
      <c r="F34" s="12" t="inlineStr"/>
      <c r="G34" s="5" t="inlineStr"/>
      <c r="H34" s="5" t="inlineStr"/>
      <c r="I34" s="5" t="inlineStr"/>
    </row>
    <row r="35">
      <c r="A35" s="4" t="inlineStr">
        <is>
          <t>EV-034</t>
        </is>
      </c>
      <c r="B35" s="5" t="inlineStr"/>
      <c r="C35" s="5" t="inlineStr"/>
      <c r="D35" s="5" t="inlineStr"/>
      <c r="E35" s="5" t="inlineStr"/>
      <c r="F35" s="12" t="inlineStr"/>
      <c r="G35" s="5" t="inlineStr"/>
      <c r="H35" s="5" t="inlineStr"/>
      <c r="I35" s="5" t="inlineStr"/>
    </row>
    <row r="36">
      <c r="A36" s="4" t="inlineStr">
        <is>
          <t>EV-035</t>
        </is>
      </c>
      <c r="B36" s="5" t="inlineStr"/>
      <c r="C36" s="5" t="inlineStr"/>
      <c r="D36" s="5" t="inlineStr"/>
      <c r="E36" s="5" t="inlineStr"/>
      <c r="F36" s="12" t="inlineStr"/>
      <c r="G36" s="5" t="inlineStr"/>
      <c r="H36" s="5" t="inlineStr"/>
      <c r="I36" s="5" t="inlineStr"/>
    </row>
    <row r="37">
      <c r="A37" s="4" t="inlineStr">
        <is>
          <t>EV-036</t>
        </is>
      </c>
      <c r="B37" s="5" t="inlineStr"/>
      <c r="C37" s="5" t="inlineStr"/>
      <c r="D37" s="5" t="inlineStr"/>
      <c r="E37" s="5" t="inlineStr"/>
      <c r="F37" s="12" t="inlineStr"/>
      <c r="G37" s="5" t="inlineStr"/>
      <c r="H37" s="5" t="inlineStr"/>
      <c r="I37" s="5" t="inlineStr"/>
    </row>
    <row r="38">
      <c r="A38" s="4" t="inlineStr">
        <is>
          <t>EV-037</t>
        </is>
      </c>
      <c r="B38" s="5" t="inlineStr"/>
      <c r="C38" s="5" t="inlineStr"/>
      <c r="D38" s="5" t="inlineStr"/>
      <c r="E38" s="5" t="inlineStr"/>
      <c r="F38" s="12" t="inlineStr"/>
      <c r="G38" s="5" t="inlineStr"/>
      <c r="H38" s="5" t="inlineStr"/>
      <c r="I38" s="5" t="inlineStr"/>
    </row>
    <row r="39">
      <c r="A39" s="4" t="inlineStr">
        <is>
          <t>EV-038</t>
        </is>
      </c>
      <c r="B39" s="5" t="inlineStr"/>
      <c r="C39" s="5" t="inlineStr"/>
      <c r="D39" s="5" t="inlineStr"/>
      <c r="E39" s="5" t="inlineStr"/>
      <c r="F39" s="12" t="inlineStr"/>
      <c r="G39" s="5" t="inlineStr"/>
      <c r="H39" s="5" t="inlineStr"/>
      <c r="I39" s="5" t="inlineStr"/>
    </row>
    <row r="40">
      <c r="A40" s="4" t="inlineStr">
        <is>
          <t>EV-039</t>
        </is>
      </c>
      <c r="B40" s="5" t="inlineStr"/>
      <c r="C40" s="5" t="inlineStr"/>
      <c r="D40" s="5" t="inlineStr"/>
      <c r="E40" s="5" t="inlineStr"/>
      <c r="F40" s="12" t="inlineStr"/>
      <c r="G40" s="5" t="inlineStr"/>
      <c r="H40" s="5" t="inlineStr"/>
      <c r="I40" s="5" t="inlineStr"/>
    </row>
    <row r="41">
      <c r="A41" s="4" t="inlineStr">
        <is>
          <t>EV-040</t>
        </is>
      </c>
      <c r="B41" s="5" t="inlineStr"/>
      <c r="C41" s="5" t="inlineStr"/>
      <c r="D41" s="5" t="inlineStr"/>
      <c r="E41" s="5" t="inlineStr"/>
      <c r="F41" s="12" t="inlineStr"/>
      <c r="G41" s="5" t="inlineStr"/>
      <c r="H41" s="5" t="inlineStr"/>
      <c r="I41" s="5" t="inlineStr"/>
    </row>
    <row r="42">
      <c r="A42" s="4" t="inlineStr">
        <is>
          <t>EV-041</t>
        </is>
      </c>
      <c r="B42" s="5" t="inlineStr"/>
      <c r="C42" s="5" t="inlineStr"/>
      <c r="D42" s="5" t="inlineStr"/>
      <c r="E42" s="5" t="inlineStr"/>
      <c r="F42" s="12" t="inlineStr"/>
      <c r="G42" s="5" t="inlineStr"/>
      <c r="H42" s="5" t="inlineStr"/>
      <c r="I42" s="5" t="inlineStr"/>
    </row>
    <row r="43">
      <c r="A43" s="4" t="inlineStr">
        <is>
          <t>EV-042</t>
        </is>
      </c>
      <c r="B43" s="5" t="inlineStr"/>
      <c r="C43" s="5" t="inlineStr"/>
      <c r="D43" s="5" t="inlineStr"/>
      <c r="E43" s="5" t="inlineStr"/>
      <c r="F43" s="12" t="inlineStr"/>
      <c r="G43" s="5" t="inlineStr"/>
      <c r="H43" s="5" t="inlineStr"/>
      <c r="I43" s="5" t="inlineStr"/>
    </row>
    <row r="44">
      <c r="A44" s="4" t="inlineStr">
        <is>
          <t>EV-043</t>
        </is>
      </c>
      <c r="B44" s="5" t="inlineStr"/>
      <c r="C44" s="5" t="inlineStr"/>
      <c r="D44" s="5" t="inlineStr"/>
      <c r="E44" s="5" t="inlineStr"/>
      <c r="F44" s="12" t="inlineStr"/>
      <c r="G44" s="5" t="inlineStr"/>
      <c r="H44" s="5" t="inlineStr"/>
      <c r="I44" s="5" t="inlineStr"/>
    </row>
    <row r="45">
      <c r="A45" s="4" t="inlineStr">
        <is>
          <t>EV-044</t>
        </is>
      </c>
      <c r="B45" s="5" t="inlineStr"/>
      <c r="C45" s="5" t="inlineStr"/>
      <c r="D45" s="5" t="inlineStr"/>
      <c r="E45" s="5" t="inlineStr"/>
      <c r="F45" s="12" t="inlineStr"/>
      <c r="G45" s="5" t="inlineStr"/>
      <c r="H45" s="5" t="inlineStr"/>
      <c r="I45" s="5" t="inlineStr"/>
    </row>
    <row r="46">
      <c r="A46" s="4" t="inlineStr">
        <is>
          <t>EV-045</t>
        </is>
      </c>
      <c r="B46" s="5" t="inlineStr"/>
      <c r="C46" s="5" t="inlineStr"/>
      <c r="D46" s="5" t="inlineStr"/>
      <c r="E46" s="5" t="inlineStr"/>
      <c r="F46" s="12" t="inlineStr"/>
      <c r="G46" s="5" t="inlineStr"/>
      <c r="H46" s="5" t="inlineStr"/>
      <c r="I46" s="5" t="inlineStr"/>
    </row>
    <row r="47">
      <c r="A47" s="4" t="inlineStr">
        <is>
          <t>EV-046</t>
        </is>
      </c>
      <c r="B47" s="5" t="inlineStr"/>
      <c r="C47" s="5" t="inlineStr"/>
      <c r="D47" s="5" t="inlineStr"/>
      <c r="E47" s="5" t="inlineStr"/>
      <c r="F47" s="12" t="inlineStr"/>
      <c r="G47" s="5" t="inlineStr"/>
      <c r="H47" s="5" t="inlineStr"/>
      <c r="I47" s="5" t="inlineStr"/>
    </row>
    <row r="48">
      <c r="A48" s="4" t="inlineStr">
        <is>
          <t>EV-047</t>
        </is>
      </c>
      <c r="B48" s="5" t="inlineStr"/>
      <c r="C48" s="5" t="inlineStr"/>
      <c r="D48" s="5" t="inlineStr"/>
      <c r="E48" s="5" t="inlineStr"/>
      <c r="F48" s="12" t="inlineStr"/>
      <c r="G48" s="5" t="inlineStr"/>
      <c r="H48" s="5" t="inlineStr"/>
      <c r="I48" s="5" t="inlineStr"/>
    </row>
    <row r="49">
      <c r="A49" s="4" t="inlineStr">
        <is>
          <t>EV-048</t>
        </is>
      </c>
      <c r="B49" s="5" t="inlineStr"/>
      <c r="C49" s="5" t="inlineStr"/>
      <c r="D49" s="5" t="inlineStr"/>
      <c r="E49" s="5" t="inlineStr"/>
      <c r="F49" s="12" t="inlineStr"/>
      <c r="G49" s="5" t="inlineStr"/>
      <c r="H49" s="5" t="inlineStr"/>
      <c r="I49" s="5" t="inlineStr"/>
    </row>
    <row r="50">
      <c r="A50" s="4" t="inlineStr">
        <is>
          <t>EV-049</t>
        </is>
      </c>
      <c r="B50" s="5" t="inlineStr"/>
      <c r="C50" s="5" t="inlineStr"/>
      <c r="D50" s="5" t="inlineStr"/>
      <c r="E50" s="5" t="inlineStr"/>
      <c r="F50" s="12" t="inlineStr"/>
      <c r="G50" s="5" t="inlineStr"/>
      <c r="H50" s="5" t="inlineStr"/>
      <c r="I50" s="5" t="inlineStr"/>
    </row>
    <row r="51">
      <c r="A51" s="4" t="inlineStr">
        <is>
          <t>EV-050</t>
        </is>
      </c>
      <c r="B51" s="5" t="inlineStr"/>
      <c r="C51" s="5" t="inlineStr"/>
      <c r="D51" s="5" t="inlineStr"/>
      <c r="E51" s="5" t="inlineStr"/>
      <c r="F51" s="12" t="inlineStr"/>
      <c r="G51" s="5" t="inlineStr"/>
      <c r="H51" s="5" t="inlineStr"/>
      <c r="I51" s="5" t="inlineStr"/>
    </row>
  </sheetData>
  <autoFilter ref="A1:I51"/>
  <dataValidations count="3">
    <dataValidation sqref="C2:C1000" showDropDown="0" showInputMessage="0" showErrorMessage="0" allowBlank="1" errorTitle="Invalid value" error="Choose a value from the list." promptTitle="Controlled field" prompt="Select one of the controlled values." type="list">
      <formula1>=Lists!$G$2:$G$8</formula1>
    </dataValidation>
    <dataValidation sqref="G2:G1000" showDropDown="0" showInputMessage="0" showErrorMessage="0" allowBlank="1" errorTitle="Invalid value" error="Choose a value from the list." promptTitle="Controlled field" prompt="Select one of the controlled values." type="list">
      <formula1>=Lists!$E$2:$E$4</formula1>
    </dataValidation>
    <dataValidation sqref="H2:H1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Retest</t>
        </is>
      </c>
      <c r="C1" t="inlineStr">
        <is>
          <t>Severity</t>
        </is>
      </c>
      <c r="D1" t="inlineStr">
        <is>
          <t>Priority</t>
        </is>
      </c>
      <c r="E1" t="inlineStr">
        <is>
          <t>Owner</t>
        </is>
      </c>
      <c r="F1" t="inlineStr">
        <is>
          <t>Defect status</t>
        </is>
      </c>
      <c r="G1" t="inlineStr">
        <is>
          <t>Evidence type</t>
        </is>
      </c>
    </row>
    <row r="2">
      <c r="A2" t="inlineStr">
        <is>
          <t>Pass</t>
        </is>
      </c>
      <c r="B2" t="inlineStr">
        <is>
          <t>Pass</t>
        </is>
      </c>
      <c r="C2" t="inlineStr">
        <is>
          <t>Critical</t>
        </is>
      </c>
      <c r="D2" t="inlineStr">
        <is>
          <t>Critical</t>
        </is>
      </c>
      <c r="E2" t="inlineStr">
        <is>
          <t>Development Team</t>
        </is>
      </c>
      <c r="F2" t="inlineStr">
        <is>
          <t>Open</t>
        </is>
      </c>
      <c r="G2" t="inlineStr">
        <is>
          <t>Screenshot</t>
        </is>
      </c>
    </row>
    <row r="3">
      <c r="A3" t="inlineStr">
        <is>
          <t>Fail</t>
        </is>
      </c>
      <c r="B3" t="inlineStr">
        <is>
          <t>Fail</t>
        </is>
      </c>
      <c r="C3" t="inlineStr">
        <is>
          <t>High</t>
        </is>
      </c>
      <c r="D3" t="inlineStr">
        <is>
          <t>High</t>
        </is>
      </c>
      <c r="F3" t="inlineStr">
        <is>
          <t>In Progress</t>
        </is>
      </c>
      <c r="G3" t="inlineStr">
        <is>
          <t>Video</t>
        </is>
      </c>
    </row>
    <row r="4">
      <c r="A4" t="inlineStr">
        <is>
          <t>Partial</t>
        </is>
      </c>
      <c r="B4" t="inlineStr">
        <is>
          <t>Blocked</t>
        </is>
      </c>
      <c r="C4" t="inlineStr">
        <is>
          <t>Medium</t>
        </is>
      </c>
      <c r="D4" t="inlineStr">
        <is>
          <t>Medium</t>
        </is>
      </c>
      <c r="F4" t="inlineStr">
        <is>
          <t>Ready for Retest</t>
        </is>
      </c>
      <c r="G4" t="inlineStr">
        <is>
          <t>Terminal log</t>
        </is>
      </c>
    </row>
    <row r="5">
      <c r="A5" t="inlineStr">
        <is>
          <t>Blocked</t>
        </is>
      </c>
      <c r="B5" t="inlineStr">
        <is>
          <t>Not Retested</t>
        </is>
      </c>
      <c r="C5" t="inlineStr">
        <is>
          <t>Low</t>
        </is>
      </c>
      <c r="D5" t="inlineStr">
        <is>
          <t>Low</t>
        </is>
      </c>
      <c r="F5" t="inlineStr">
        <is>
          <t>Closed</t>
        </is>
      </c>
      <c r="G5" t="inlineStr">
        <is>
          <t>JSON report</t>
        </is>
      </c>
    </row>
    <row r="6">
      <c r="A6" t="inlineStr">
        <is>
          <t>Not Run</t>
        </is>
      </c>
      <c r="C6" t="inlineStr">
        <is>
          <t>N/A</t>
        </is>
      </c>
      <c r="F6" t="inlineStr">
        <is>
          <t>Accepted Risk</t>
        </is>
      </c>
      <c r="G6" t="inlineStr">
        <is>
          <t>CSV</t>
        </is>
      </c>
    </row>
    <row r="7">
      <c r="G7" t="inlineStr">
        <is>
          <t>Accessibility notes</t>
        </is>
      </c>
    </row>
    <row r="8">
      <c r="G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2026-09-10T10:31:52Z</dcterms:created>
  <dcterms:modified xmlns:dcterms="http://purl.org/dc/terms/" xmlns:xsi="http://www.w3.org/2001/XMLSchema-instance" xsi:type="dcterms:W3CDTF">2026-09-10T16:57:59Z</dcterms:modified>
</cp:coreProperties>
</file>